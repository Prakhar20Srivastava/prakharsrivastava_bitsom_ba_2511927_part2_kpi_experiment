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as19\BitSom\Capstone\business_analytics_assignment_datasets-20260621T135334Z-3-001\business_analytics_assignment_datasets\part2\"/>
    </mc:Choice>
  </mc:AlternateContent>
  <xr:revisionPtr revIDLastSave="0" documentId="13_ncr:1_{71BDE4BB-CA3D-4A4E-8450-BF4827F9F1DB}" xr6:coauthVersionLast="47" xr6:coauthVersionMax="47" xr10:uidLastSave="{00000000-0000-0000-0000-000000000000}"/>
  <bookViews>
    <workbookView xWindow="-108" yWindow="-108" windowWidth="23256" windowHeight="12456" tabRatio="489" xr2:uid="{00000000-000D-0000-FFFF-FFFF00000000}"/>
  </bookViews>
  <sheets>
    <sheet name="Exp Summary" sheetId="3" r:id="rId1"/>
    <sheet name="Sheet3" sheetId="5" state="hidden" r:id="rId2"/>
    <sheet name="Hypothesis Test" sheetId="4" r:id="rId3"/>
    <sheet name="experiment_data" sheetId="1" r:id="rId4"/>
    <sheet name="business_context" sheetId="2" r:id="rId5"/>
  </sheets>
  <definedNames>
    <definedName name="_xlnm._FilterDatabase" localSheetId="3" hidden="1">experiment_data!$A$1:$Q$1409</definedName>
  </definedNames>
  <calcPr calcId="191029"/>
  <pivotCaches>
    <pivotCache cacheId="17" r:id="rId6"/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0" i="3" l="1"/>
  <c r="U59" i="3"/>
  <c r="U58" i="3"/>
  <c r="U57" i="3"/>
  <c r="U56" i="3"/>
  <c r="U55" i="3"/>
  <c r="U54" i="3"/>
  <c r="U53" i="3"/>
  <c r="U52" i="3"/>
  <c r="U51" i="3"/>
  <c r="U17" i="3"/>
  <c r="U18" i="3"/>
  <c r="U19" i="3"/>
  <c r="U20" i="3"/>
  <c r="U21" i="3"/>
  <c r="U22" i="3"/>
  <c r="U23" i="3"/>
  <c r="U24" i="3"/>
  <c r="U25" i="3"/>
  <c r="U16" i="3"/>
  <c r="M35" i="3" a="1"/>
  <c r="M35" i="3" s="1"/>
  <c r="L35" i="3" a="1"/>
  <c r="L35" i="3" s="1"/>
  <c r="M24" i="3"/>
  <c r="L24" i="3"/>
  <c r="N15" i="3"/>
  <c r="N14" i="3"/>
  <c r="N6" i="3"/>
  <c r="N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<sst xmlns="http://schemas.openxmlformats.org/spreadsheetml/2006/main" count="8730" uniqueCount="1524">
  <si>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</si>
  <si>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</si>
  <si>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</si>
  <si>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</si>
  <si>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</si>
  <si>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</si>
  <si>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</si>
  <si>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</si>
  <si>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</si>
  <si>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</si>
  <si>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</si>
  <si>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</si>
  <si>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</si>
  <si>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</si>
  <si>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</si>
  <si>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</si>
  <si>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</si>
  <si>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</si>
  <si>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</si>
  <si>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</si>
  <si>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</si>
  <si>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</si>
  <si>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</si>
  <si>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</si>
  <si>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</si>
  <si>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</si>
  <si>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</si>
  <si>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</si>
  <si>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</si>
  <si>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</si>
  <si>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</si>
  <si>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</si>
  <si>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</si>
  <si>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</si>
  <si>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</si>
  <si>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</si>
  <si>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</si>
  <si>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</si>
  <si>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</si>
  <si>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</si>
  <si>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</si>
  <si>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</si>
  <si>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</si>
  <si>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</si>
  <si>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</si>
  <si>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</si>
  <si>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</si>
  <si>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</si>
  <si>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</si>
  <si>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</si>
  <si>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</si>
  <si>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</si>
  <si>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</si>
  <si>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</si>
  <si>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</si>
  <si>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</si>
  <si>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</si>
  <si>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</si>
  <si>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</si>
  <si>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</si>
  <si>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</si>
  <si>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</si>
  <si>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</si>
  <si>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</si>
  <si>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</si>
  <si>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</si>
  <si>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</si>
  <si>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</si>
  <si>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</si>
  <si>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</si>
  <si>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</si>
  <si>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</si>
  <si>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</si>
  <si>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</si>
  <si>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</si>
  <si>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</si>
  <si>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</si>
  <si>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</si>
  <si>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</si>
  <si>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</si>
  <si>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</si>
  <si>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</si>
  <si>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</si>
  <si>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</si>
  <si>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</si>
  <si>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</si>
  <si>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</si>
  <si>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</si>
  <si>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</si>
  <si>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</si>
  <si>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</si>
  <si>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</si>
  <si>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</si>
  <si>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</si>
  <si>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</si>
  <si>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</si>
  <si>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</si>
  <si>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</si>
  <si>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</si>
  <si>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</si>
  <si>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</si>
  <si>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</si>
  <si>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</si>
  <si>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</si>
  <si>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</si>
  <si>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</si>
  <si>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</si>
  <si>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</si>
  <si>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</si>
  <si>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</si>
  <si>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</si>
  <si>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</si>
  <si>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</si>
  <si>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</si>
  <si>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</si>
  <si>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</si>
  <si>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</si>
  <si>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</si>
  <si>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</si>
  <si>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</si>
  <si>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</si>
  <si>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</si>
  <si>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</si>
  <si>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</si>
  <si>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</si>
  <si>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</si>
  <si>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</si>
  <si>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</si>
  <si>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</si>
  <si>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</si>
  <si>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</si>
  <si>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</si>
  <si>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</si>
  <si>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</si>
  <si>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</si>
  <si>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</si>
  <si>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</si>
  <si>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</si>
  <si>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</si>
  <si>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</si>
  <si>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</si>
  <si>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</si>
  <si>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</si>
  <si>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</si>
  <si>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</si>
  <si>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</si>
  <si>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</si>
  <si>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</si>
  <si>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</si>
  <si>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</si>
  <si>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</si>
  <si>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</si>
  <si>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</si>
  <si>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</si>
  <si>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</si>
  <si>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</si>
  <si>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</si>
  <si>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</si>
  <si>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</si>
  <si>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</si>
  <si>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</si>
  <si>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</si>
  <si>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</si>
  <si>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</si>
  <si>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</si>
  <si>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</si>
  <si>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</si>
  <si>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</si>
  <si>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</si>
  <si>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</si>
  <si>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</si>
  <si>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</si>
  <si>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</si>
  <si>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</si>
  <si>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</si>
  <si>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</si>
  <si>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</si>
  <si>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</si>
  <si>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</si>
  <si>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</si>
  <si>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</si>
  <si>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</si>
  <si>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</si>
  <si>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</si>
  <si>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</si>
  <si>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</si>
  <si>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</si>
  <si>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</si>
  <si>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</si>
  <si>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</si>
  <si>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</si>
  <si>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</si>
  <si>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</si>
  <si>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</si>
  <si>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</si>
  <si>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</si>
  <si>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</si>
  <si>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</si>
  <si>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</si>
  <si>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</si>
  <si>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</si>
  <si>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</si>
  <si>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</si>
  <si>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</si>
  <si>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</si>
  <si>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</si>
  <si>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</si>
  <si>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</si>
  <si>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</si>
  <si>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</si>
  <si>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</si>
  <si>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</si>
  <si>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</si>
  <si>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</si>
  <si>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</si>
  <si>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</si>
  <si>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</si>
  <si>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</si>
  <si>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</si>
  <si>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</si>
  <si>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</si>
  <si>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</si>
  <si>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</si>
  <si>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</si>
  <si>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</si>
  <si>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</si>
  <si>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</si>
  <si>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</si>
  <si>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</si>
  <si>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</si>
  <si>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</si>
  <si>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</si>
  <si>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</si>
  <si>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</si>
  <si>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</si>
  <si>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</si>
  <si>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</si>
  <si>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</si>
  <si>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</si>
  <si>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</si>
  <si>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</si>
  <si>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</si>
  <si>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</si>
  <si>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</si>
  <si>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</si>
  <si>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</si>
  <si>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</si>
  <si>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</si>
  <si>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</si>
  <si>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</si>
  <si>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</si>
  <si>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</si>
  <si>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</si>
  <si>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</si>
  <si>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</si>
  <si>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</si>
  <si>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</si>
  <si>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</si>
  <si>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</si>
  <si>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</si>
  <si>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</si>
  <si>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</si>
  <si>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</si>
  <si>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</si>
  <si>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</si>
  <si>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</si>
  <si>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</si>
  <si>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</si>
  <si>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</si>
  <si>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</si>
  <si>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</si>
  <si>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</si>
  <si>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</si>
  <si>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</si>
  <si>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</si>
  <si>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</si>
  <si>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</si>
  <si>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</si>
  <si>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</si>
  <si>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</si>
  <si>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</si>
  <si>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</si>
  <si>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</si>
  <si>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</si>
  <si>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</si>
  <si>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</si>
  <si>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</si>
  <si>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</si>
  <si>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</si>
  <si>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</si>
  <si>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</si>
  <si>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</si>
  <si>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</si>
  <si>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</si>
  <si>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</si>
  <si>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</si>
  <si>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</si>
  <si>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</si>
  <si>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</si>
  <si>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</si>
  <si>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</si>
  <si>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</si>
  <si>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</si>
  <si>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</si>
  <si>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</si>
  <si>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</si>
  <si>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</si>
  <si>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</si>
  <si>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</si>
  <si>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</si>
  <si>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</si>
  <si>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</si>
  <si>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</si>
  <si>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</si>
  <si>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</si>
  <si>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</si>
  <si>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</si>
  <si>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</si>
  <si>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</si>
  <si>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</si>
  <si>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</si>
  <si>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</si>
  <si>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</si>
  <si>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</si>
  <si>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</si>
  <si>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</si>
  <si>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</si>
  <si>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</si>
  <si>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</si>
  <si>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</si>
  <si>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</si>
  <si>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</si>
  <si>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</si>
  <si>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</si>
  <si>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</si>
  <si>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</si>
  <si>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</si>
  <si>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</si>
  <si>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</si>
  <si>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</si>
  <si>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</si>
  <si>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</si>
  <si>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</si>
  <si>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</si>
  <si>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</si>
  <si>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</si>
  <si>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</si>
  <si>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</si>
  <si>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</si>
  <si>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</si>
  <si>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</si>
  <si>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</si>
  <si>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</si>
  <si>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</si>
  <si>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</si>
  <si>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</si>
  <si>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</si>
  <si>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</si>
  <si>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</si>
  <si>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</si>
  <si>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</si>
  <si>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</si>
  <si>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</si>
  <si>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</si>
  <si>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</si>
  <si>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</si>
  <si>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</si>
  <si>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</si>
  <si>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</si>
  <si>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</si>
  <si>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</si>
  <si>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</si>
  <si>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</si>
  <si>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</si>
  <si>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</si>
  <si>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</si>
  <si>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</si>
  <si>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</si>
  <si>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</si>
  <si>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</si>
  <si>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</si>
  <si>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</si>
  <si>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</si>
  <si>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</si>
  <si>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</si>
  <si>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</si>
  <si>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</si>
  <si>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</si>
  <si>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</si>
  <si>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</si>
  <si>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</si>
  <si>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</si>
  <si>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</si>
  <si>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</si>
  <si>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</si>
  <si>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</si>
  <si>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</si>
  <si>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</si>
  <si>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</si>
  <si>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</si>
  <si>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</si>
  <si>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</si>
  <si>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</si>
  <si>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</si>
  <si>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</si>
  <si>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</si>
  <si>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</si>
  <si>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</si>
  <si>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</si>
  <si>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</si>
  <si>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</si>
  <si>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</si>
  <si>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</si>
  <si>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</si>
  <si>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</si>
  <si>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</si>
  <si>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</si>
  <si>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</si>
  <si>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</si>
  <si>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</si>
  <si>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</si>
  <si>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</si>
  <si>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</si>
  <si>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</si>
  <si>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</si>
  <si>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</si>
  <si>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</si>
  <si>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</si>
  <si>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</si>
  <si>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</si>
  <si>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</si>
  <si>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</si>
  <si>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</si>
  <si>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</si>
  <si>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</si>
  <si>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</si>
  <si>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</si>
  <si>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</si>
  <si>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</si>
  <si>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</si>
  <si>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</si>
  <si>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</si>
  <si>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</si>
  <si>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</si>
  <si>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</si>
  <si>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</si>
  <si>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</si>
  <si>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</si>
  <si>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</si>
  <si>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</si>
  <si>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</si>
  <si>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</si>
  <si>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</si>
  <si>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</si>
  <si>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</si>
  <si>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</si>
  <si>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</si>
  <si>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</si>
  <si>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</si>
  <si>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</si>
  <si>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</si>
  <si>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</si>
  <si>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</si>
  <si>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</si>
  <si>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</si>
  <si>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</si>
  <si>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</si>
  <si>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</si>
  <si>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</si>
  <si>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</si>
  <si>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</si>
  <si>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</si>
  <si>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</si>
  <si>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</si>
  <si>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</si>
  <si>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</si>
  <si>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</si>
  <si>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</si>
  <si>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</si>
  <si>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</si>
  <si>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</si>
  <si>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</si>
  <si>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</si>
  <si>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</si>
  <si>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</si>
  <si>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</si>
  <si>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</si>
  <si>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</si>
  <si>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</si>
  <si>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</si>
  <si>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</si>
  <si>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</si>
  <si>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</si>
  <si>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</si>
  <si>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</si>
  <si>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</si>
  <si>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</si>
  <si>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</si>
  <si>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</si>
  <si>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</si>
  <si>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</si>
  <si>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</si>
  <si>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</si>
  <si>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</si>
  <si>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</si>
  <si>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</si>
  <si>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</si>
  <si>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</si>
  <si>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</si>
  <si>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</si>
  <si>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</si>
  <si>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</si>
  <si>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</si>
  <si>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</si>
  <si>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</si>
  <si>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</si>
  <si>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</si>
  <si>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</si>
  <si>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</si>
  <si>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</si>
  <si>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</si>
  <si>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</si>
  <si>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</si>
  <si>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</si>
  <si>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</si>
  <si>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</si>
  <si>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</si>
  <si>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</si>
  <si>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</si>
  <si>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</si>
  <si>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</si>
  <si>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</si>
  <si>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</si>
  <si>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</si>
  <si>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</si>
  <si>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</si>
  <si>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</si>
  <si>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</si>
  <si>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</si>
  <si>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</si>
  <si>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</si>
  <si>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</si>
  <si>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</si>
  <si>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</si>
  <si>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</si>
  <si>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</si>
  <si>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</si>
  <si>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</si>
  <si>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</si>
  <si>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</si>
  <si>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</si>
  <si>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</si>
  <si>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</si>
  <si>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</si>
  <si>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</si>
  <si>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</si>
  <si>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</si>
  <si>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</si>
  <si>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</si>
  <si>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</si>
  <si>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</si>
  <si>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</si>
  <si>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</si>
  <si>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</si>
  <si>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</si>
  <si>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</si>
  <si>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</si>
  <si>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</si>
  <si>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</si>
  <si>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</si>
  <si>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</si>
  <si>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</si>
  <si>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</si>
  <si>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</si>
  <si>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</si>
  <si>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</si>
  <si>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</si>
  <si>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</si>
  <si>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</si>
  <si>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</si>
  <si>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</si>
  <si>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</si>
  <si>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</si>
  <si>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</si>
  <si>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</si>
  <si>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</si>
  <si>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</si>
  <si>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</si>
  <si>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</si>
  <si>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</si>
  <si>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</si>
  <si>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</si>
  <si>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</si>
  <si>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</si>
  <si>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</si>
  <si>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</si>
  <si>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</si>
  <si>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</si>
  <si>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</si>
  <si>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</si>
  <si>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</si>
  <si>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</si>
  <si>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</si>
  <si>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</si>
  <si>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</si>
  <si>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</si>
  <si>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</si>
  <si>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</si>
  <si>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</si>
  <si>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</si>
  <si>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</si>
  <si>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</si>
  <si>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</si>
  <si>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</si>
  <si>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</si>
  <si>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</si>
  <si>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</si>
  <si>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</si>
  <si>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</si>
  <si>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</si>
  <si>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</si>
  <si>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</si>
  <si>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</si>
  <si>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</si>
  <si>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</si>
  <si>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</si>
  <si>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</si>
  <si>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</si>
  <si>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</si>
  <si>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</si>
  <si>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</si>
  <si>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</si>
  <si>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</si>
  <si>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</si>
  <si>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</si>
  <si>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</si>
  <si>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</si>
  <si>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</si>
  <si>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</si>
  <si>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</si>
  <si>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</si>
  <si>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</si>
  <si>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</si>
  <si>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</si>
  <si>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</si>
  <si>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</si>
  <si>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</si>
  <si>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</si>
  <si>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</si>
  <si>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</si>
  <si>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</si>
  <si>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</si>
  <si>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</si>
  <si>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</si>
  <si>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</si>
  <si>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</si>
  <si>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</si>
  <si>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</si>
  <si>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</si>
  <si>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</si>
  <si>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</si>
  <si>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</si>
  <si>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</si>
  <si>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</si>
  <si>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</si>
  <si>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</si>
  <si>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</si>
  <si>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</si>
  <si>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</si>
  <si>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</si>
  <si>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</si>
  <si>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</si>
  <si>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</si>
  <si>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</si>
  <si>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</si>
  <si>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</si>
  <si>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</si>
  <si>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</si>
  <si>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</si>
  <si>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</si>
  <si>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</si>
  <si>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</si>
  <si>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</si>
  <si>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</si>
  <si>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</si>
  <si>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</si>
  <si>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</si>
  <si>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</si>
  <si>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</si>
  <si>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</si>
  <si>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</si>
  <si>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</si>
  <si>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</si>
  <si>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</si>
  <si>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</si>
  <si>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</si>
  <si>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</si>
  <si>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</si>
  <si>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</si>
  <si>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</si>
  <si>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</si>
  <si>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</si>
  <si>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</si>
  <si>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</si>
  <si>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</si>
  <si>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</si>
  <si>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</si>
  <si>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</si>
  <si>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</si>
  <si>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</si>
  <si>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</si>
  <si>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</si>
  <si>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</si>
  <si>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</si>
  <si>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</si>
  <si>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</si>
  <si>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</si>
  <si>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</si>
  <si>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</si>
  <si>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</si>
  <si>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</si>
  <si>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</si>
  <si>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</si>
  <si>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</si>
  <si>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</si>
  <si>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</si>
  <si>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</si>
  <si>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</si>
  <si>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</si>
  <si>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</si>
  <si>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</si>
  <si>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</si>
  <si>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</si>
  <si>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</si>
  <si>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</si>
  <si>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</si>
  <si>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</si>
  <si>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</si>
  <si>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</si>
  <si>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</si>
  <si>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</si>
  <si>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</si>
  <si>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</si>
  <si>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</si>
  <si>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</si>
  <si>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</si>
  <si>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</si>
  <si>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</si>
  <si>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</si>
  <si>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</si>
  <si>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</si>
  <si>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</si>
  <si>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</si>
  <si>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</si>
  <si>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</si>
  <si>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</si>
  <si>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</si>
  <si>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</si>
  <si>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</si>
  <si>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</si>
  <si>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</si>
  <si>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</si>
  <si>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</si>
  <si>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</si>
  <si>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</si>
  <si>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</si>
  <si>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</si>
  <si>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</si>
  <si>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</si>
  <si>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</si>
  <si>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</si>
  <si>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</si>
  <si>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</si>
  <si>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</si>
  <si>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</si>
  <si>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</si>
  <si>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</si>
  <si>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</si>
  <si>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</si>
  <si>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</si>
  <si>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</si>
  <si>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</si>
  <si>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</si>
  <si>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</si>
  <si>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</si>
  <si>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</si>
  <si>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</si>
  <si>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</si>
  <si>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</si>
  <si>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</si>
  <si>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</si>
  <si>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</si>
  <si>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</si>
  <si>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</si>
  <si>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</si>
  <si>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</si>
  <si>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</si>
  <si>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</si>
  <si>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</si>
  <si>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</si>
  <si>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</si>
  <si>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</si>
  <si>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</si>
  <si>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</si>
  <si>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</si>
  <si>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</si>
  <si>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</si>
  <si>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</si>
  <si>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</si>
  <si>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</si>
  <si>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</si>
  <si>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</si>
  <si>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</si>
  <si>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</si>
  <si>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</si>
  <si>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</si>
  <si>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</si>
  <si>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</si>
  <si>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</si>
  <si>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</si>
  <si>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</si>
  <si>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</si>
  <si>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</si>
  <si>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</si>
  <si>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</si>
  <si>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</si>
  <si>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</si>
  <si>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</si>
  <si>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</si>
  <si>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</si>
  <si>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</si>
  <si>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</si>
  <si>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</si>
  <si>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</si>
  <si>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</si>
  <si>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</si>
  <si>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</si>
  <si>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</si>
  <si>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</si>
  <si>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</si>
  <si>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</si>
  <si>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</si>
  <si>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</si>
  <si>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</si>
  <si>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</si>
  <si>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</si>
  <si>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</si>
  <si>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</si>
  <si>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</si>
  <si>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</si>
  <si>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</si>
  <si>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</si>
  <si>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</si>
  <si>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</si>
  <si>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</si>
  <si>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</si>
  <si>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</si>
  <si>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</si>
  <si>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</si>
  <si>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</si>
  <si>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</si>
  <si>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</si>
  <si>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</si>
  <si>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</si>
  <si>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</si>
  <si>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</si>
  <si>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</si>
  <si>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</si>
  <si>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</si>
  <si>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</si>
  <si>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</si>
  <si>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</si>
  <si>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</si>
  <si>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</si>
  <si>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</si>
  <si>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</si>
  <si>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</si>
  <si>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</si>
  <si>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</si>
  <si>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</si>
  <si>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</si>
  <si>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</si>
  <si>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</si>
  <si>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</si>
  <si>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</si>
  <si>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</si>
  <si>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</si>
  <si>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</si>
  <si>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</si>
  <si>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</si>
  <si>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</si>
  <si>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</si>
  <si>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</si>
  <si>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</si>
  <si>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</si>
  <si>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</si>
  <si>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</si>
  <si>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</si>
  <si>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</si>
  <si>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</si>
  <si>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</si>
  <si>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</si>
  <si>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</si>
  <si>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</si>
  <si>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</si>
  <si>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</si>
  <si>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</si>
  <si>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</si>
  <si>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</si>
  <si>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</si>
  <si>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</si>
  <si>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</si>
  <si>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</si>
  <si>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</si>
  <si>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</si>
  <si>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</si>
  <si>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</si>
  <si>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</si>
  <si>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</si>
  <si>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</si>
  <si>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</si>
  <si>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</si>
  <si>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</si>
  <si>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</si>
  <si>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</si>
  <si>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</si>
  <si>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</si>
  <si>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</si>
  <si>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</si>
  <si>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</si>
  <si>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</si>
  <si>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</si>
  <si>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</si>
  <si>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</si>
  <si>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</si>
  <si>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</si>
  <si>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</si>
  <si>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</si>
  <si>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</si>
  <si>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</si>
  <si>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</si>
  <si>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</si>
  <si>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</si>
  <si>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</si>
  <si>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</si>
  <si>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</si>
  <si>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</si>
  <si>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</si>
  <si>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</si>
  <si>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</si>
  <si>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</si>
  <si>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</si>
  <si>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</si>
  <si>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</si>
  <si>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</si>
  <si>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</si>
  <si>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</si>
  <si>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</si>
  <si>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</si>
  <si>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</si>
  <si>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</si>
  <si>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</si>
  <si>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</si>
  <si>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</si>
  <si>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</si>
  <si>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</si>
  <si>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</si>
  <si>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</si>
  <si>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</si>
  <si>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</si>
  <si>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</si>
  <si>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</si>
  <si>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</si>
  <si>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</si>
  <si>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</si>
  <si>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</si>
  <si>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</si>
  <si>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</si>
  <si>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</si>
  <si>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</si>
  <si>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</si>
  <si>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</si>
  <si>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</si>
  <si>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</si>
  <si>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</si>
  <si>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</si>
  <si>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</si>
  <si>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</si>
  <si>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</si>
  <si>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</si>
  <si>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</si>
  <si>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</si>
  <si>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</si>
  <si>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</si>
  <si>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</si>
  <si>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</si>
  <si>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</si>
  <si>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</si>
  <si>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</si>
  <si>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</si>
  <si>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</si>
  <si>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</si>
  <si>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</si>
  <si>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</si>
  <si>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</si>
  <si>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</si>
  <si>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</si>
  <si>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</si>
  <si>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</si>
  <si>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</si>
  <si>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</si>
  <si>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</si>
  <si>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</si>
  <si>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</si>
  <si>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</si>
  <si>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</si>
  <si>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</si>
  <si>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</si>
  <si>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</si>
  <si>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</si>
  <si>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</si>
  <si>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</si>
  <si>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</si>
  <si>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</si>
  <si>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</si>
  <si>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</si>
  <si>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</si>
  <si>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</si>
  <si>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</si>
  <si>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</si>
  <si>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</si>
  <si>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</si>
  <si>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</si>
  <si>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</si>
  <si>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</si>
  <si>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</si>
  <si>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</si>
  <si>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</si>
  <si>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</si>
  <si>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</si>
  <si>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</si>
  <si>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</si>
  <si>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</si>
  <si>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</si>
  <si>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</si>
  <si>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</si>
  <si>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</si>
  <si>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</si>
  <si>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</si>
  <si>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</si>
  <si>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</si>
  <si>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</si>
  <si>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</si>
  <si>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</si>
  <si>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</si>
  <si>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</si>
  <si>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</si>
  <si>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</si>
  <si>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</si>
  <si>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</si>
  <si>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</si>
  <si>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</si>
  <si>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</si>
  <si>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</si>
  <si>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</si>
  <si>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</si>
  <si>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</si>
  <si>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</si>
  <si>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</si>
  <si>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</si>
  <si>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</si>
  <si>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</si>
  <si>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</si>
  <si>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</si>
  <si>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</si>
  <si>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</si>
  <si>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</si>
  <si>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</si>
  <si>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</si>
  <si>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</si>
  <si>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</si>
  <si>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</si>
  <si>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</si>
  <si>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</si>
  <si>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</si>
  <si>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</si>
  <si>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</si>
  <si>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</si>
  <si>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</si>
  <si>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</si>
  <si>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</si>
  <si>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</si>
  <si>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</si>
  <si>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</si>
  <si>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</si>
  <si>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</si>
  <si>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</si>
  <si>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</si>
  <si>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</si>
  <si>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</si>
  <si>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</si>
  <si>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</si>
  <si>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</si>
  <si>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</si>
  <si>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</si>
  <si>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</si>
  <si>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</si>
  <si>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</si>
  <si>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</si>
  <si>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</si>
  <si>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</si>
  <si>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</si>
  <si>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</si>
  <si>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</si>
  <si>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</si>
  <si>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</si>
  <si>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</si>
  <si>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</si>
  <si>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</si>
  <si>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</si>
  <si>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</si>
  <si>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</si>
  <si>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</si>
  <si>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</si>
  <si>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</si>
  <si>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</si>
  <si>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</si>
  <si>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</si>
  <si>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</si>
  <si>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</si>
  <si>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</si>
  <si>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</si>
  <si>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</si>
  <si>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</si>
  <si>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</si>
  <si>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</si>
  <si>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</si>
  <si>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</si>
  <si>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</si>
  <si>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</si>
  <si>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</si>
  <si>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</si>
  <si>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</si>
  <si>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</si>
  <si>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</si>
  <si>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</si>
  <si>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</si>
  <si>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</si>
  <si>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</si>
  <si>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</si>
  <si>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</si>
  <si>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</si>
  <si>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</si>
  <si>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</si>
  <si>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</si>
  <si>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</si>
  <si>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</si>
  <si>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</si>
  <si>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</si>
  <si>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</si>
  <si>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</si>
  <si>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</si>
  <si>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</si>
  <si>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</si>
  <si>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</si>
  <si>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</si>
  <si>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</si>
  <si>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</si>
  <si>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</si>
  <si>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</si>
  <si>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</si>
  <si>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</si>
  <si>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</si>
  <si>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</si>
  <si>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</si>
  <si>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</si>
  <si>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</si>
  <si>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</si>
  <si>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</si>
  <si>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</si>
  <si>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</si>
  <si>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</si>
  <si>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</si>
  <si>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</si>
  <si>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</si>
  <si>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</si>
  <si>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</si>
  <si>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</si>
  <si>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</si>
  <si>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</si>
  <si>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</si>
  <si>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</si>
  <si>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</si>
  <si>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</si>
  <si>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</si>
  <si>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</si>
  <si>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</si>
  <si>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</si>
  <si>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</si>
  <si>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</si>
  <si>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</si>
  <si>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</si>
  <si>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</si>
  <si>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</si>
  <si>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</si>
  <si>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</si>
  <si>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</si>
  <si>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</si>
  <si>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</si>
  <si>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</si>
  <si>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</si>
  <si>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</si>
  <si>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</si>
  <si>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</si>
  <si>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</si>
  <si>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</si>
  <si>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</si>
  <si>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</si>
  <si>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</si>
  <si>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</si>
  <si>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</si>
  <si>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</si>
  <si>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</si>
  <si>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</si>
  <si>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</si>
  <si>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</si>
  <si>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</si>
  <si>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</si>
  <si>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</si>
  <si>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</si>
  <si>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</si>
  <si>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</si>
  <si>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</si>
  <si>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</si>
  <si>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</si>
  <si>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</si>
  <si>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</si>
  <si>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</si>
  <si>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</si>
  <si>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</si>
  <si>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</si>
  <si>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</si>
  <si>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</si>
  <si>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</si>
  <si>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</si>
  <si>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</si>
  <si>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</si>
  <si>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</si>
  <si>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</si>
  <si>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</si>
  <si>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</si>
  <si>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</si>
  <si>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</si>
  <si>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</si>
  <si>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</si>
  <si>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</si>
  <si>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</si>
  <si>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</si>
  <si>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</si>
  <si>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</si>
  <si>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</si>
  <si>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</si>
  <si>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</si>
  <si>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</si>
  <si>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</si>
  <si>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</si>
  <si>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</si>
  <si>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</si>
  <si>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</si>
  <si>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</si>
  <si>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</si>
  <si>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</si>
  <si>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</si>
  <si>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</si>
  <si>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</si>
  <si>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</si>
  <si>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</si>
  <si>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</si>
  <si>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</si>
  <si>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</si>
  <si>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</si>
  <si>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</si>
  <si>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</si>
  <si>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</si>
  <si>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</si>
  <si>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</si>
  <si>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</si>
  <si>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</si>
  <si>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</si>
  <si>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</si>
  <si>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</si>
  <si>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</si>
  <si>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</si>
  <si>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</si>
  <si>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</si>
  <si>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</si>
  <si>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</si>
  <si>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</si>
  <si>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</si>
  <si>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</si>
  <si>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</si>
  <si>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</si>
  <si>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</si>
  <si>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</si>
  <si>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</si>
  <si>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</si>
  <si>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</si>
  <si>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</si>
  <si>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</si>
  <si>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</si>
  <si>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</si>
  <si>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</si>
  <si>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</si>
  <si>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</si>
  <si>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</si>
  <si>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</si>
  <si>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</si>
  <si>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</si>
  <si>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</si>
  <si>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</si>
  <si>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</si>
  <si>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</si>
  <si>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</si>
  <si>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</si>
  <si>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</si>
  <si>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</si>
  <si>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</si>
  <si>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</si>
  <si>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</si>
  <si>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</si>
  <si>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</si>
  <si>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</si>
  <si>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</si>
  <si>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</si>
  <si>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</si>
  <si>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</si>
  <si>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</si>
  <si>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</si>
  <si>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</si>
  <si>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</si>
  <si>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</si>
  <si>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</si>
  <si>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</si>
  <si>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</si>
  <si>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</si>
  <si>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</si>
  <si>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</si>
  <si>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</si>
  <si>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</si>
  <si>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</si>
  <si>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</si>
  <si>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</si>
  <si>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</si>
  <si>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</si>
  <si>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</si>
  <si>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</si>
  <si>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</si>
  <si>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</si>
  <si>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</si>
  <si>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</si>
  <si>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</si>
  <si>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</si>
  <si>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</si>
  <si>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</si>
  <si>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</si>
  <si>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</si>
  <si>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</si>
  <si>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</si>
  <si>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</si>
  <si>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</si>
  <si>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</si>
  <si>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</si>
  <si>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</si>
  <si>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</si>
  <si>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</si>
  <si>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</si>
  <si>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</si>
  <si>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</si>
  <si>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</si>
  <si>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</si>
  <si>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</si>
  <si>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</si>
  <si>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</si>
  <si>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</si>
  <si>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</si>
  <si>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</si>
  <si>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</si>
  <si>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</si>
  <si>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</si>
  <si>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</si>
  <si>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</si>
  <si>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</si>
  <si>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</si>
  <si>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</si>
  <si>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</si>
  <si>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</si>
  <si>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</si>
  <si>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</si>
  <si>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</si>
  <si>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</si>
  <si>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</si>
  <si>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</si>
  <si>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</si>
  <si>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</si>
  <si>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</si>
  <si>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</si>
  <si>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</si>
  <si>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</si>
  <si>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</si>
  <si>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</si>
  <si>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</si>
  <si>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</si>
  <si>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</si>
  <si>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</si>
  <si>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</si>
  <si>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</si>
  <si>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</si>
  <si>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</si>
  <si>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</si>
  <si>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</si>
  <si>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</si>
  <si>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</si>
  <si>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</si>
  <si>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</si>
  <si>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</si>
  <si>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</si>
  <si>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</si>
  <si>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</si>
  <si>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</si>
  <si>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</si>
  <si>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</si>
  <si>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</si>
  <si>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</si>
  <si>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</si>
  <si>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</si>
  <si>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</si>
  <si>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</si>
  <si>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</si>
  <si>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</si>
  <si>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</si>
  <si>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</si>
  <si>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</si>
  <si>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</si>
  <si>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</si>
  <si>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</si>
  <si>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</si>
  <si>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</si>
  <si>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</si>
  <si>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</si>
  <si>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</si>
  <si>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</si>
  <si>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Count of user_id</t>
  </si>
  <si>
    <t>Total</t>
  </si>
  <si>
    <t>Grand Total</t>
  </si>
  <si>
    <t>Values</t>
  </si>
  <si>
    <t>Sum of revenue_30d</t>
  </si>
  <si>
    <t>ARPU</t>
  </si>
  <si>
    <t>Average of engagement_score</t>
  </si>
  <si>
    <t>Average of days_to_convert</t>
  </si>
  <si>
    <t>Desktop Total</t>
  </si>
  <si>
    <t>Mobile Total</t>
  </si>
  <si>
    <t>Tablet Total</t>
  </si>
  <si>
    <t>Email Total</t>
  </si>
  <si>
    <t>Organic Total</t>
  </si>
  <si>
    <t>Paid Search Total</t>
  </si>
  <si>
    <t>Referral Total</t>
  </si>
  <si>
    <t>Social Total</t>
  </si>
  <si>
    <t>Basic Total</t>
  </si>
  <si>
    <t>Free Total</t>
  </si>
  <si>
    <t>Premium Total</t>
  </si>
  <si>
    <t>Duplicate</t>
  </si>
  <si>
    <t>Duplicate/ Non-duplicate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</si>
  <si>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</si>
  <si>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</si>
  <si>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</si>
  <si>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</si>
  <si>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</si>
  <si>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</si>
  <si>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</si>
  <si>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</si>
  <si>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</si>
  <si>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</si>
  <si>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</si>
  <si>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</si>
  <si>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</si>
  <si>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</si>
  <si>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</si>
  <si>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</si>
  <si>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</si>
  <si>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</si>
  <si>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</si>
  <si>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</si>
  <si>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</si>
  <si>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</si>
  <si>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</si>
  <si>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</si>
  <si>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ARPCU</t>
  </si>
  <si>
    <t>(blank)</t>
  </si>
  <si>
    <t>(All)</t>
  </si>
  <si>
    <t>Sum of converted_to_paid</t>
  </si>
  <si>
    <t>Metric</t>
  </si>
  <si>
    <t>Required Calculation</t>
  </si>
  <si>
    <t>User count</t>
  </si>
  <si>
    <t>Number of users in each group</t>
  </si>
  <si>
    <t>Landing page visit rate</t>
  </si>
  <si>
    <t>Users who visited landing page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</si>
  <si>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</si>
  <si>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</si>
  <si>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</si>
  <si>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</si>
  <si>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</t>
  </si>
  <si>
    <t>Users converted to paid / total users</t>
  </si>
  <si>
    <t>Average revenue per user</t>
  </si>
  <si>
    <t>Total revenue / total users</t>
  </si>
  <si>
    <t>Average revenue per converted user</t>
  </si>
  <si>
    <t>Revenue / converted users</t>
  </si>
  <si>
    <t>Refund rate</t>
  </si>
  <si>
    <t>Refund requests / total users</t>
  </si>
  <si>
    <t>Support ticket rate</t>
  </si>
  <si>
    <t>Users with support tickets / total users</t>
  </si>
  <si>
    <t>Average engagement score</t>
  </si>
  <si>
    <t>Average score by group</t>
  </si>
  <si>
    <t>Average days to convert</t>
  </si>
  <si>
    <t>Average days for users who 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</si>
</sst>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73" formatCode="0.0%"/>
  </numFmts>
  <fonts count="10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color theme="1"/>
      <name val="Carlito"/>
    </font>
    <font>
      <i/>
      <sz val="11"/>
      <name val="Carlito"/>
    </font>
    <font>
      <b/>
      <sz val="11"/>
      <color rgb="FFFF0000"/>
      <name val="Carlito"/>
    </font>
    <font>
      <sz val="11"/>
      <color rgb="FFFF0000"/>
      <name val="Carlito"/>
    </font>
    <font>
      <sz val="10"/>
      <color rgb="FF24292F"/>
      <name val="Segoe UI"/>
      <family val="2"/>
    </font>
    <font>
      <sz val="10"/>
      <color rgb="FF24292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1" fontId="0" fillId="0" borderId="0" xfId="0" applyNumberFormat="1"/>
    <xf numFmtId="0" fontId="3" fillId="0" borderId="0" xfId="0" pivotButton="1" applyFont="1"/>
    <xf numFmtId="0" fontId="3" fillId="0" borderId="0" xfId="0" applyFont="1"/>
    <xf numFmtId="0" fontId="4" fillId="3" borderId="2" xfId="0" applyFont="1" applyFill="1" applyBorder="1"/>
    <xf numFmtId="9" fontId="3" fillId="0" borderId="0" xfId="0" applyNumberFormat="1" applyFont="1"/>
    <xf numFmtId="1" fontId="3" fillId="0" borderId="0" xfId="0" applyNumberFormat="1" applyFont="1"/>
    <xf numFmtId="165" fontId="3" fillId="0" borderId="0" xfId="1" applyNumberFormat="1" applyFont="1"/>
    <xf numFmtId="0" fontId="3" fillId="0" borderId="0" xfId="0" applyFont="1" applyAlignment="1">
      <alignment horizontal="left"/>
    </xf>
    <xf numFmtId="10" fontId="3" fillId="0" borderId="0" xfId="1" applyNumberFormat="1" applyFont="1"/>
    <xf numFmtId="165" fontId="3" fillId="0" borderId="0" xfId="0" applyNumberFormat="1" applyFont="1"/>
    <xf numFmtId="0" fontId="0" fillId="0" borderId="1" xfId="0" applyBorder="1"/>
    <xf numFmtId="0" fontId="0" fillId="0" borderId="5" xfId="0" applyBorder="1"/>
    <xf numFmtId="0" fontId="5" fillId="0" borderId="6" xfId="0" applyFont="1" applyBorder="1" applyAlignment="1">
      <alignment horizontal="center"/>
    </xf>
    <xf numFmtId="0" fontId="0" fillId="0" borderId="1" xfId="0" applyFill="1" applyBorder="1" applyAlignment="1"/>
    <xf numFmtId="0" fontId="0" fillId="0" borderId="5" xfId="0" applyFill="1" applyBorder="1" applyAlignment="1"/>
    <xf numFmtId="0" fontId="5" fillId="0" borderId="6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0" fillId="0" borderId="0" xfId="0" applyNumberFormat="1"/>
    <xf numFmtId="0" fontId="7" fillId="0" borderId="0" xfId="0" applyFont="1"/>
    <xf numFmtId="164" fontId="7" fillId="0" borderId="0" xfId="0" applyNumberFormat="1" applyFont="1"/>
    <xf numFmtId="0" fontId="8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vertical="center"/>
    </xf>
    <xf numFmtId="0" fontId="9" fillId="6" borderId="7" xfId="0" applyFont="1" applyFill="1" applyBorder="1" applyAlignment="1">
      <alignment vertical="center"/>
    </xf>
    <xf numFmtId="9" fontId="3" fillId="0" borderId="0" xfId="1" applyFont="1"/>
    <xf numFmtId="173" fontId="3" fillId="0" borderId="0" xfId="1" applyNumberFormat="1" applyFont="1"/>
    <xf numFmtId="0" fontId="3" fillId="0" borderId="0" xfId="0" applyNumberFormat="1" applyFont="1"/>
    <xf numFmtId="165" fontId="4" fillId="0" borderId="4" xfId="0" applyNumberFormat="1" applyFont="1" applyBorder="1"/>
    <xf numFmtId="165" fontId="4" fillId="3" borderId="3" xfId="0" applyNumberFormat="1" applyFont="1" applyFill="1" applyBorder="1"/>
    <xf numFmtId="0" fontId="3" fillId="0" borderId="0" xfId="0" pivotButton="1" applyFont="1" applyAlignment="1">
      <alignment wrapText="1"/>
    </xf>
  </cellXfs>
  <cellStyles count="2">
    <cellStyle name="Normal" xfId="0" builtinId="0"/>
    <cellStyle name="Percent" xfId="1" builtinId="5"/>
  </cellStyles>
  <dxfs count="85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3" formatCode="0%"/>
    </dxf>
    <dxf>
      <numFmt numFmtId="165" formatCode="0.0"/>
    </dxf>
    <dxf>
      <numFmt numFmtId="13" formatCode="0%"/>
    </dxf>
    <dxf>
      <numFmt numFmtId="165" formatCode="0.0"/>
    </dxf>
    <dxf>
      <numFmt numFmtId="1" formatCode="0"/>
    </dxf>
    <dxf>
      <alignment wrapText="1"/>
    </dxf>
    <dxf>
      <numFmt numFmtId="13" formatCode="0%"/>
    </dxf>
    <dxf>
      <numFmt numFmtId="13" formatCode="0%"/>
    </dxf>
    <dxf>
      <numFmt numFmtId="1" formatCode="0"/>
    </dxf>
    <dxf>
      <numFmt numFmtId="13" formatCode="0%"/>
    </dxf>
    <dxf>
      <numFmt numFmtId="13" formatCode="0%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Singh" refreshedDate="46198.975091782406" createdVersion="8" refreshedVersion="8" minRefreshableVersion="3" recordCount="1408" xr:uid="{FC5A4D28-020B-4639-8270-1A95F1B509FF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 count="2">
        <n v="0"/>
        <n v="1"/>
      </sharedItems>
    </cacheField>
    <cacheField name="completed_onboarding" numFmtId="0">
      <sharedItems containsSemiMixedTypes="0" containsString="0" containsNumber="1" containsInteger="1" minValue="0" maxValue="1" count="2">
        <n v="0"/>
        <n v="1"/>
      </sharedItems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refund_requested" numFmtId="0">
      <sharedItems containsSemiMixedTypes="0" containsString="0" containsNumber="1" containsInteger="1" minValue="0" maxValue="1" count="2">
        <n v="0"/>
        <n v="1"/>
      </sharedItems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Singh" refreshedDate="46198.975379861113" createdVersion="8" refreshedVersion="8" minRefreshableVersion="3" recordCount="1408" xr:uid="{E46D0E4E-110A-4071-8FB9-EB25DE0790D5}">
  <cacheSource type="worksheet">
    <worksheetSource ref="A1:Q1409" sheet="experiment_data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/ Non-duplicate" numFmtId="0">
      <sharedItems containsBlank="1" count="2">
        <m/>
        <s v="Duplic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x v="0"/>
    <x v="0"/>
    <x v="0"/>
    <x v="0"/>
    <n v="0"/>
    <x v="0"/>
    <x v="0"/>
    <m/>
    <n v="45.7"/>
  </r>
  <r>
    <s v="USR-100002"/>
    <d v="2025-03-08T00:00:00"/>
    <x v="0"/>
    <x v="1"/>
    <x v="1"/>
    <x v="1"/>
    <x v="1"/>
    <x v="1"/>
    <x v="0"/>
    <x v="0"/>
    <x v="0"/>
    <n v="0"/>
    <x v="0"/>
    <x v="0"/>
    <m/>
    <n v="48.6"/>
  </r>
  <r>
    <s v="USR-100003"/>
    <d v="2025-04-24T00:00:00"/>
    <x v="0"/>
    <x v="2"/>
    <x v="1"/>
    <x v="2"/>
    <x v="2"/>
    <x v="1"/>
    <x v="0"/>
    <x v="0"/>
    <x v="0"/>
    <n v="0"/>
    <x v="1"/>
    <x v="0"/>
    <m/>
    <n v="35.4"/>
  </r>
  <r>
    <s v="USR-100004"/>
    <d v="2025-05-04T00:00:00"/>
    <x v="0"/>
    <x v="3"/>
    <x v="1"/>
    <x v="0"/>
    <x v="0"/>
    <x v="1"/>
    <x v="0"/>
    <x v="0"/>
    <x v="0"/>
    <n v="0"/>
    <x v="0"/>
    <x v="0"/>
    <m/>
    <n v="64.599999999999994"/>
  </r>
  <r>
    <s v="USR-100005"/>
    <d v="2025-02-12T00:00:00"/>
    <x v="0"/>
    <x v="0"/>
    <x v="2"/>
    <x v="1"/>
    <x v="1"/>
    <x v="0"/>
    <x v="0"/>
    <x v="0"/>
    <x v="0"/>
    <n v="0"/>
    <x v="0"/>
    <x v="0"/>
    <m/>
    <n v="66.599999999999994"/>
  </r>
  <r>
    <s v="USR-100006"/>
    <d v="2025-01-28T00:00:00"/>
    <x v="0"/>
    <x v="2"/>
    <x v="1"/>
    <x v="1"/>
    <x v="2"/>
    <x v="1"/>
    <x v="0"/>
    <x v="0"/>
    <x v="0"/>
    <n v="0"/>
    <x v="0"/>
    <x v="0"/>
    <m/>
    <n v="40.799999999999997"/>
  </r>
  <r>
    <s v="USR-100007"/>
    <d v="2025-04-08T00:00:00"/>
    <x v="0"/>
    <x v="2"/>
    <x v="1"/>
    <x v="2"/>
    <x v="0"/>
    <x v="1"/>
    <x v="1"/>
    <x v="0"/>
    <x v="0"/>
    <n v="0"/>
    <x v="0"/>
    <x v="0"/>
    <m/>
    <n v="57.1"/>
  </r>
  <r>
    <s v="USR-100008"/>
    <d v="2025-05-17T00:00:00"/>
    <x v="0"/>
    <x v="3"/>
    <x v="1"/>
    <x v="2"/>
    <x v="1"/>
    <x v="0"/>
    <x v="0"/>
    <x v="0"/>
    <x v="0"/>
    <n v="0"/>
    <x v="0"/>
    <x v="0"/>
    <m/>
    <n v="36.4"/>
  </r>
  <r>
    <s v="USR-100009"/>
    <d v="2025-02-23T00:00:00"/>
    <x v="0"/>
    <x v="3"/>
    <x v="2"/>
    <x v="3"/>
    <x v="0"/>
    <x v="0"/>
    <x v="0"/>
    <x v="0"/>
    <x v="0"/>
    <n v="0"/>
    <x v="0"/>
    <x v="0"/>
    <m/>
    <n v="55.4"/>
  </r>
  <r>
    <s v="USR-100010"/>
    <d v="2025-05-29T00:00:00"/>
    <x v="0"/>
    <x v="1"/>
    <x v="0"/>
    <x v="4"/>
    <x v="1"/>
    <x v="1"/>
    <x v="0"/>
    <x v="0"/>
    <x v="0"/>
    <n v="0"/>
    <x v="0"/>
    <x v="0"/>
    <m/>
    <n v="57.3"/>
  </r>
  <r>
    <s v="USR-100011"/>
    <d v="2025-04-30T00:00:00"/>
    <x v="0"/>
    <x v="2"/>
    <x v="1"/>
    <x v="2"/>
    <x v="0"/>
    <x v="1"/>
    <x v="1"/>
    <x v="1"/>
    <x v="0"/>
    <n v="0"/>
    <x v="0"/>
    <x v="0"/>
    <m/>
    <n v="63.6"/>
  </r>
  <r>
    <s v="USR-100012"/>
    <d v="2025-03-16T00:00:00"/>
    <x v="0"/>
    <x v="2"/>
    <x v="1"/>
    <x v="4"/>
    <x v="2"/>
    <x v="1"/>
    <x v="1"/>
    <x v="1"/>
    <x v="0"/>
    <n v="0"/>
    <x v="1"/>
    <x v="0"/>
    <m/>
    <n v="80.400000000000006"/>
  </r>
  <r>
    <s v="USR-100013"/>
    <d v="2025-02-07T00:00:00"/>
    <x v="0"/>
    <x v="3"/>
    <x v="0"/>
    <x v="0"/>
    <x v="0"/>
    <x v="1"/>
    <x v="0"/>
    <x v="0"/>
    <x v="0"/>
    <n v="0"/>
    <x v="0"/>
    <x v="0"/>
    <m/>
    <n v="62.4"/>
  </r>
  <r>
    <s v="USR-100014"/>
    <d v="2025-03-02T00:00:00"/>
    <x v="0"/>
    <x v="1"/>
    <x v="1"/>
    <x v="4"/>
    <x v="0"/>
    <x v="1"/>
    <x v="0"/>
    <x v="0"/>
    <x v="0"/>
    <n v="0"/>
    <x v="0"/>
    <x v="0"/>
    <m/>
    <n v="82.4"/>
  </r>
  <r>
    <s v="USR-100015"/>
    <d v="2025-05-30T00:00:00"/>
    <x v="0"/>
    <x v="3"/>
    <x v="1"/>
    <x v="1"/>
    <x v="0"/>
    <x v="0"/>
    <x v="0"/>
    <x v="0"/>
    <x v="0"/>
    <n v="0"/>
    <x v="0"/>
    <x v="0"/>
    <m/>
    <n v="61.2"/>
  </r>
  <r>
    <s v="USR-100016"/>
    <d v="2025-03-25T00:00:00"/>
    <x v="0"/>
    <x v="3"/>
    <x v="1"/>
    <x v="4"/>
    <x v="0"/>
    <x v="1"/>
    <x v="0"/>
    <x v="0"/>
    <x v="0"/>
    <n v="0"/>
    <x v="0"/>
    <x v="0"/>
    <m/>
    <n v="68.900000000000006"/>
  </r>
  <r>
    <s v="USR-100017"/>
    <d v="2025-03-27T00:00:00"/>
    <x v="0"/>
    <x v="2"/>
    <x v="0"/>
    <x v="2"/>
    <x v="1"/>
    <x v="1"/>
    <x v="1"/>
    <x v="1"/>
    <x v="0"/>
    <n v="0"/>
    <x v="0"/>
    <x v="0"/>
    <m/>
    <n v="71.900000000000006"/>
  </r>
  <r>
    <s v="USR-100018"/>
    <d v="2025-05-28T00:00:00"/>
    <x v="0"/>
    <x v="3"/>
    <x v="0"/>
    <x v="2"/>
    <x v="1"/>
    <x v="0"/>
    <x v="0"/>
    <x v="0"/>
    <x v="0"/>
    <n v="0"/>
    <x v="0"/>
    <x v="0"/>
    <m/>
    <n v="50.5"/>
  </r>
  <r>
    <s v="USR-100019"/>
    <d v="2025-02-15T00:00:00"/>
    <x v="0"/>
    <x v="0"/>
    <x v="0"/>
    <x v="2"/>
    <x v="0"/>
    <x v="0"/>
    <x v="0"/>
    <x v="0"/>
    <x v="0"/>
    <n v="0"/>
    <x v="0"/>
    <x v="0"/>
    <m/>
    <n v="49.3"/>
  </r>
  <r>
    <s v="USR-100020"/>
    <d v="2025-05-05T00:00:00"/>
    <x v="0"/>
    <x v="1"/>
    <x v="0"/>
    <x v="1"/>
    <x v="0"/>
    <x v="0"/>
    <x v="0"/>
    <x v="0"/>
    <x v="0"/>
    <n v="0"/>
    <x v="2"/>
    <x v="0"/>
    <m/>
    <n v="60.9"/>
  </r>
  <r>
    <s v="USR-100021"/>
    <d v="2025-04-13T00:00:00"/>
    <x v="0"/>
    <x v="2"/>
    <x v="1"/>
    <x v="4"/>
    <x v="1"/>
    <x v="1"/>
    <x v="0"/>
    <x v="0"/>
    <x v="0"/>
    <n v="0"/>
    <x v="0"/>
    <x v="0"/>
    <m/>
    <n v="62.7"/>
  </r>
  <r>
    <s v="USR-100022"/>
    <d v="2025-05-07T00:00:00"/>
    <x v="0"/>
    <x v="0"/>
    <x v="0"/>
    <x v="2"/>
    <x v="1"/>
    <x v="0"/>
    <x v="0"/>
    <x v="0"/>
    <x v="0"/>
    <n v="0"/>
    <x v="0"/>
    <x v="0"/>
    <m/>
    <n v="52.7"/>
  </r>
  <r>
    <s v="USR-100023"/>
    <d v="2025-05-25T00:00:00"/>
    <x v="0"/>
    <x v="0"/>
    <x v="0"/>
    <x v="1"/>
    <x v="1"/>
    <x v="0"/>
    <x v="0"/>
    <x v="0"/>
    <x v="0"/>
    <n v="0"/>
    <x v="0"/>
    <x v="0"/>
    <m/>
    <n v="54"/>
  </r>
  <r>
    <s v="USR-100024"/>
    <d v="2025-04-01T00:00:00"/>
    <x v="0"/>
    <x v="2"/>
    <x v="1"/>
    <x v="2"/>
    <x v="2"/>
    <x v="1"/>
    <x v="1"/>
    <x v="0"/>
    <x v="0"/>
    <n v="0"/>
    <x v="0"/>
    <x v="0"/>
    <m/>
    <n v="51.6"/>
  </r>
  <r>
    <s v="USR-100025"/>
    <d v="2025-02-22T00:00:00"/>
    <x v="0"/>
    <x v="0"/>
    <x v="1"/>
    <x v="2"/>
    <x v="2"/>
    <x v="0"/>
    <x v="0"/>
    <x v="0"/>
    <x v="0"/>
    <n v="0"/>
    <x v="2"/>
    <x v="0"/>
    <m/>
    <n v="66.900000000000006"/>
  </r>
  <r>
    <s v="USR-100026"/>
    <d v="2025-03-24T00:00:00"/>
    <x v="0"/>
    <x v="2"/>
    <x v="1"/>
    <x v="1"/>
    <x v="0"/>
    <x v="0"/>
    <x v="0"/>
    <x v="0"/>
    <x v="0"/>
    <n v="0"/>
    <x v="0"/>
    <x v="0"/>
    <m/>
    <n v="67.400000000000006"/>
  </r>
  <r>
    <s v="USR-100027"/>
    <d v="2025-02-13T00:00:00"/>
    <x v="0"/>
    <x v="0"/>
    <x v="1"/>
    <x v="1"/>
    <x v="1"/>
    <x v="0"/>
    <x v="0"/>
    <x v="0"/>
    <x v="0"/>
    <n v="0"/>
    <x v="0"/>
    <x v="0"/>
    <m/>
    <n v="58.8"/>
  </r>
  <r>
    <s v="USR-100028"/>
    <d v="2025-05-30T00:00:00"/>
    <x v="0"/>
    <x v="3"/>
    <x v="1"/>
    <x v="1"/>
    <x v="1"/>
    <x v="1"/>
    <x v="0"/>
    <x v="0"/>
    <x v="0"/>
    <n v="0"/>
    <x v="0"/>
    <x v="0"/>
    <m/>
    <n v="73.8"/>
  </r>
  <r>
    <s v="USR-100029"/>
    <d v="2025-01-20T00:00:00"/>
    <x v="0"/>
    <x v="2"/>
    <x v="2"/>
    <x v="1"/>
    <x v="0"/>
    <x v="0"/>
    <x v="0"/>
    <x v="0"/>
    <x v="0"/>
    <n v="0"/>
    <x v="0"/>
    <x v="0"/>
    <m/>
    <n v="60.1"/>
  </r>
  <r>
    <s v="USR-100030"/>
    <d v="2025-05-19T00:00:00"/>
    <x v="0"/>
    <x v="2"/>
    <x v="1"/>
    <x v="4"/>
    <x v="0"/>
    <x v="1"/>
    <x v="1"/>
    <x v="1"/>
    <x v="0"/>
    <n v="0"/>
    <x v="0"/>
    <x v="0"/>
    <m/>
    <n v="41"/>
  </r>
  <r>
    <s v="USR-100031"/>
    <d v="2025-02-18T00:00:00"/>
    <x v="0"/>
    <x v="3"/>
    <x v="1"/>
    <x v="1"/>
    <x v="0"/>
    <x v="1"/>
    <x v="0"/>
    <x v="0"/>
    <x v="0"/>
    <n v="0"/>
    <x v="0"/>
    <x v="0"/>
    <m/>
    <n v="80.3"/>
  </r>
  <r>
    <s v="USR-100032"/>
    <d v="2025-02-13T00:00:00"/>
    <x v="0"/>
    <x v="2"/>
    <x v="1"/>
    <x v="1"/>
    <x v="1"/>
    <x v="0"/>
    <x v="0"/>
    <x v="0"/>
    <x v="0"/>
    <n v="0"/>
    <x v="0"/>
    <x v="0"/>
    <m/>
    <n v="67.599999999999994"/>
  </r>
  <r>
    <s v="USR-100033"/>
    <d v="2025-03-08T00:00:00"/>
    <x v="0"/>
    <x v="2"/>
    <x v="0"/>
    <x v="3"/>
    <x v="2"/>
    <x v="0"/>
    <x v="0"/>
    <x v="0"/>
    <x v="0"/>
    <n v="0"/>
    <x v="0"/>
    <x v="0"/>
    <m/>
    <n v="64"/>
  </r>
  <r>
    <s v="USR-100034"/>
    <d v="2025-01-11T00:00:00"/>
    <x v="0"/>
    <x v="0"/>
    <x v="1"/>
    <x v="2"/>
    <x v="1"/>
    <x v="1"/>
    <x v="1"/>
    <x v="0"/>
    <x v="0"/>
    <n v="0"/>
    <x v="0"/>
    <x v="0"/>
    <m/>
    <n v="27.2"/>
  </r>
  <r>
    <s v="USR-100035"/>
    <d v="2025-02-12T00:00:00"/>
    <x v="0"/>
    <x v="0"/>
    <x v="0"/>
    <x v="1"/>
    <x v="1"/>
    <x v="1"/>
    <x v="0"/>
    <x v="0"/>
    <x v="0"/>
    <n v="0"/>
    <x v="0"/>
    <x v="0"/>
    <m/>
    <n v="85.4"/>
  </r>
  <r>
    <s v="USR-100036"/>
    <d v="2025-04-13T00:00:00"/>
    <x v="0"/>
    <x v="2"/>
    <x v="0"/>
    <x v="1"/>
    <x v="0"/>
    <x v="1"/>
    <x v="0"/>
    <x v="0"/>
    <x v="0"/>
    <n v="0"/>
    <x v="0"/>
    <x v="0"/>
    <m/>
    <n v="75.900000000000006"/>
  </r>
  <r>
    <s v="USR-100037"/>
    <d v="2025-05-09T00:00:00"/>
    <x v="0"/>
    <x v="2"/>
    <x v="1"/>
    <x v="1"/>
    <x v="2"/>
    <x v="1"/>
    <x v="0"/>
    <x v="0"/>
    <x v="0"/>
    <n v="0"/>
    <x v="1"/>
    <x v="0"/>
    <m/>
    <n v="34.799999999999997"/>
  </r>
  <r>
    <s v="USR-100038"/>
    <d v="2025-01-20T00:00:00"/>
    <x v="0"/>
    <x v="2"/>
    <x v="1"/>
    <x v="1"/>
    <x v="1"/>
    <x v="1"/>
    <x v="1"/>
    <x v="1"/>
    <x v="0"/>
    <n v="0"/>
    <x v="3"/>
    <x v="0"/>
    <m/>
    <n v="48.9"/>
  </r>
  <r>
    <s v="USR-100039"/>
    <d v="2025-05-13T00:00:00"/>
    <x v="0"/>
    <x v="2"/>
    <x v="1"/>
    <x v="0"/>
    <x v="2"/>
    <x v="1"/>
    <x v="0"/>
    <x v="0"/>
    <x v="0"/>
    <n v="0"/>
    <x v="0"/>
    <x v="0"/>
    <m/>
    <n v="41.5"/>
  </r>
  <r>
    <s v="USR-100040"/>
    <d v="2025-04-07T00:00:00"/>
    <x v="0"/>
    <x v="0"/>
    <x v="0"/>
    <x v="1"/>
    <x v="0"/>
    <x v="1"/>
    <x v="0"/>
    <x v="0"/>
    <x v="0"/>
    <n v="0"/>
    <x v="0"/>
    <x v="0"/>
    <m/>
    <n v="51.5"/>
  </r>
  <r>
    <s v="USR-100041"/>
    <d v="2025-03-31T00:00:00"/>
    <x v="0"/>
    <x v="0"/>
    <x v="0"/>
    <x v="1"/>
    <x v="1"/>
    <x v="0"/>
    <x v="0"/>
    <x v="0"/>
    <x v="0"/>
    <n v="0"/>
    <x v="0"/>
    <x v="0"/>
    <m/>
    <n v="53.2"/>
  </r>
  <r>
    <s v="USR-100042"/>
    <d v="2025-01-25T00:00:00"/>
    <x v="0"/>
    <x v="2"/>
    <x v="1"/>
    <x v="0"/>
    <x v="2"/>
    <x v="0"/>
    <x v="0"/>
    <x v="0"/>
    <x v="0"/>
    <n v="0"/>
    <x v="0"/>
    <x v="0"/>
    <m/>
    <n v="55.6"/>
  </r>
  <r>
    <s v="USR-100043"/>
    <d v="2025-02-14T00:00:00"/>
    <x v="0"/>
    <x v="3"/>
    <x v="0"/>
    <x v="1"/>
    <x v="1"/>
    <x v="0"/>
    <x v="0"/>
    <x v="0"/>
    <x v="0"/>
    <n v="0"/>
    <x v="0"/>
    <x v="0"/>
    <m/>
    <n v="73"/>
  </r>
  <r>
    <s v="USR-100044"/>
    <d v="2025-02-27T00:00:00"/>
    <x v="0"/>
    <x v="2"/>
    <x v="1"/>
    <x v="0"/>
    <x v="1"/>
    <x v="1"/>
    <x v="0"/>
    <x v="0"/>
    <x v="0"/>
    <n v="0"/>
    <x v="0"/>
    <x v="0"/>
    <m/>
    <n v="65"/>
  </r>
  <r>
    <s v="USR-100045"/>
    <d v="2025-03-28T00:00:00"/>
    <x v="0"/>
    <x v="2"/>
    <x v="1"/>
    <x v="4"/>
    <x v="1"/>
    <x v="1"/>
    <x v="0"/>
    <x v="0"/>
    <x v="0"/>
    <n v="0"/>
    <x v="4"/>
    <x v="0"/>
    <m/>
    <n v="56.3"/>
  </r>
  <r>
    <s v="USR-100046"/>
    <d v="2025-05-25T00:00:00"/>
    <x v="0"/>
    <x v="2"/>
    <x v="1"/>
    <x v="3"/>
    <x v="2"/>
    <x v="1"/>
    <x v="0"/>
    <x v="0"/>
    <x v="0"/>
    <n v="0"/>
    <x v="0"/>
    <x v="0"/>
    <m/>
    <n v="62.4"/>
  </r>
  <r>
    <s v="USR-100047"/>
    <d v="2025-05-05T00:00:00"/>
    <x v="0"/>
    <x v="1"/>
    <x v="0"/>
    <x v="1"/>
    <x v="1"/>
    <x v="1"/>
    <x v="1"/>
    <x v="1"/>
    <x v="0"/>
    <n v="0"/>
    <x v="0"/>
    <x v="0"/>
    <m/>
    <n v="58.1"/>
  </r>
  <r>
    <s v="USR-100048"/>
    <d v="2025-05-16T00:00:00"/>
    <x v="0"/>
    <x v="0"/>
    <x v="1"/>
    <x v="1"/>
    <x v="1"/>
    <x v="1"/>
    <x v="1"/>
    <x v="1"/>
    <x v="0"/>
    <n v="0"/>
    <x v="0"/>
    <x v="0"/>
    <m/>
    <n v="80.8"/>
  </r>
  <r>
    <s v="USR-100049"/>
    <d v="2025-01-08T00:00:00"/>
    <x v="0"/>
    <x v="0"/>
    <x v="1"/>
    <x v="4"/>
    <x v="1"/>
    <x v="1"/>
    <x v="1"/>
    <x v="0"/>
    <x v="0"/>
    <n v="0"/>
    <x v="0"/>
    <x v="0"/>
    <m/>
    <n v="42.9"/>
  </r>
  <r>
    <s v="USR-100050"/>
    <d v="2025-01-06T00:00:00"/>
    <x v="0"/>
    <x v="1"/>
    <x v="0"/>
    <x v="2"/>
    <x v="1"/>
    <x v="1"/>
    <x v="0"/>
    <x v="0"/>
    <x v="0"/>
    <n v="0"/>
    <x v="0"/>
    <x v="0"/>
    <m/>
    <n v="52.7"/>
  </r>
  <r>
    <s v="USR-100051"/>
    <d v="2025-01-12T00:00:00"/>
    <x v="0"/>
    <x v="0"/>
    <x v="1"/>
    <x v="4"/>
    <x v="0"/>
    <x v="0"/>
    <x v="0"/>
    <x v="0"/>
    <x v="0"/>
    <n v="0"/>
    <x v="0"/>
    <x v="0"/>
    <m/>
    <n v="46.9"/>
  </r>
  <r>
    <s v="USR-100052"/>
    <d v="2025-02-14T00:00:00"/>
    <x v="0"/>
    <x v="2"/>
    <x v="0"/>
    <x v="0"/>
    <x v="2"/>
    <x v="1"/>
    <x v="0"/>
    <x v="0"/>
    <x v="0"/>
    <n v="0"/>
    <x v="0"/>
    <x v="0"/>
    <m/>
    <n v="63"/>
  </r>
  <r>
    <s v="USR-100053"/>
    <d v="2025-03-10T00:00:00"/>
    <x v="0"/>
    <x v="3"/>
    <x v="2"/>
    <x v="1"/>
    <x v="1"/>
    <x v="0"/>
    <x v="0"/>
    <x v="0"/>
    <x v="0"/>
    <n v="0"/>
    <x v="0"/>
    <x v="0"/>
    <m/>
    <n v="53.6"/>
  </r>
  <r>
    <s v="USR-100054"/>
    <d v="2025-04-20T00:00:00"/>
    <x v="0"/>
    <x v="1"/>
    <x v="0"/>
    <x v="1"/>
    <x v="0"/>
    <x v="0"/>
    <x v="0"/>
    <x v="0"/>
    <x v="0"/>
    <n v="0"/>
    <x v="0"/>
    <x v="0"/>
    <m/>
    <n v="49.6"/>
  </r>
  <r>
    <s v="USR-100055"/>
    <d v="2025-02-19T00:00:00"/>
    <x v="0"/>
    <x v="3"/>
    <x v="1"/>
    <x v="1"/>
    <x v="1"/>
    <x v="0"/>
    <x v="0"/>
    <x v="0"/>
    <x v="0"/>
    <n v="0"/>
    <x v="0"/>
    <x v="0"/>
    <m/>
    <n v="54"/>
  </r>
  <r>
    <s v="USR-100056"/>
    <d v="2025-05-17T00:00:00"/>
    <x v="0"/>
    <x v="3"/>
    <x v="1"/>
    <x v="4"/>
    <x v="0"/>
    <x v="1"/>
    <x v="0"/>
    <x v="0"/>
    <x v="0"/>
    <n v="0"/>
    <x v="2"/>
    <x v="0"/>
    <m/>
    <n v="50"/>
  </r>
  <r>
    <s v="USR-100057"/>
    <d v="2025-04-01T00:00:00"/>
    <x v="0"/>
    <x v="2"/>
    <x v="1"/>
    <x v="4"/>
    <x v="0"/>
    <x v="0"/>
    <x v="0"/>
    <x v="0"/>
    <x v="0"/>
    <n v="0"/>
    <x v="0"/>
    <x v="0"/>
    <m/>
    <n v="48.1"/>
  </r>
  <r>
    <s v="USR-100058"/>
    <d v="2025-02-04T00:00:00"/>
    <x v="0"/>
    <x v="0"/>
    <x v="0"/>
    <x v="1"/>
    <x v="1"/>
    <x v="1"/>
    <x v="0"/>
    <x v="0"/>
    <x v="0"/>
    <n v="0"/>
    <x v="0"/>
    <x v="0"/>
    <m/>
    <n v="49.6"/>
  </r>
  <r>
    <s v="USR-100059"/>
    <d v="2025-04-14T00:00:00"/>
    <x v="0"/>
    <x v="0"/>
    <x v="1"/>
    <x v="4"/>
    <x v="1"/>
    <x v="0"/>
    <x v="0"/>
    <x v="0"/>
    <x v="0"/>
    <n v="0"/>
    <x v="2"/>
    <x v="0"/>
    <m/>
    <n v="48.9"/>
  </r>
  <r>
    <s v="USR-100060"/>
    <d v="2025-01-01T00:00:00"/>
    <x v="0"/>
    <x v="1"/>
    <x v="1"/>
    <x v="4"/>
    <x v="1"/>
    <x v="1"/>
    <x v="1"/>
    <x v="1"/>
    <x v="1"/>
    <n v="240.42"/>
    <x v="0"/>
    <x v="0"/>
    <n v="16"/>
    <n v="56.5"/>
  </r>
  <r>
    <s v="USR-100061"/>
    <d v="2025-04-02T00:00:00"/>
    <x v="0"/>
    <x v="3"/>
    <x v="1"/>
    <x v="3"/>
    <x v="1"/>
    <x v="1"/>
    <x v="0"/>
    <x v="0"/>
    <x v="0"/>
    <n v="0"/>
    <x v="0"/>
    <x v="0"/>
    <m/>
    <n v="53.7"/>
  </r>
  <r>
    <s v="USR-100062"/>
    <d v="2025-03-29T00:00:00"/>
    <x v="0"/>
    <x v="0"/>
    <x v="1"/>
    <x v="4"/>
    <x v="2"/>
    <x v="0"/>
    <x v="0"/>
    <x v="0"/>
    <x v="0"/>
    <n v="0"/>
    <x v="0"/>
    <x v="0"/>
    <m/>
    <n v="62.2"/>
  </r>
  <r>
    <s v="USR-100063"/>
    <d v="2025-05-15T00:00:00"/>
    <x v="0"/>
    <x v="3"/>
    <x v="0"/>
    <x v="1"/>
    <x v="1"/>
    <x v="1"/>
    <x v="0"/>
    <x v="0"/>
    <x v="0"/>
    <n v="0"/>
    <x v="0"/>
    <x v="0"/>
    <m/>
    <n v="50.2"/>
  </r>
  <r>
    <s v="USR-100064"/>
    <d v="2025-04-11T00:00:00"/>
    <x v="0"/>
    <x v="0"/>
    <x v="1"/>
    <x v="1"/>
    <x v="0"/>
    <x v="1"/>
    <x v="0"/>
    <x v="0"/>
    <x v="0"/>
    <n v="0"/>
    <x v="0"/>
    <x v="0"/>
    <m/>
    <n v="74.3"/>
  </r>
  <r>
    <s v="USR-100065"/>
    <d v="2025-03-07T00:00:00"/>
    <x v="0"/>
    <x v="3"/>
    <x v="0"/>
    <x v="2"/>
    <x v="1"/>
    <x v="1"/>
    <x v="0"/>
    <x v="0"/>
    <x v="0"/>
    <n v="0"/>
    <x v="0"/>
    <x v="0"/>
    <m/>
    <n v="58"/>
  </r>
  <r>
    <s v="USR-100066"/>
    <d v="2025-05-30T00:00:00"/>
    <x v="0"/>
    <x v="3"/>
    <x v="1"/>
    <x v="1"/>
    <x v="1"/>
    <x v="0"/>
    <x v="0"/>
    <x v="0"/>
    <x v="0"/>
    <n v="0"/>
    <x v="0"/>
    <x v="0"/>
    <m/>
    <n v="46.7"/>
  </r>
  <r>
    <s v="USR-100067"/>
    <d v="2025-01-07T00:00:00"/>
    <x v="0"/>
    <x v="3"/>
    <x v="0"/>
    <x v="1"/>
    <x v="2"/>
    <x v="1"/>
    <x v="0"/>
    <x v="0"/>
    <x v="0"/>
    <n v="0"/>
    <x v="1"/>
    <x v="0"/>
    <m/>
    <n v="49.6"/>
  </r>
  <r>
    <s v="USR-100068"/>
    <d v="2025-05-08T00:00:00"/>
    <x v="0"/>
    <x v="1"/>
    <x v="1"/>
    <x v="4"/>
    <x v="1"/>
    <x v="0"/>
    <x v="0"/>
    <x v="0"/>
    <x v="0"/>
    <n v="0"/>
    <x v="0"/>
    <x v="0"/>
    <m/>
    <n v="60.4"/>
  </r>
  <r>
    <s v="USR-100069"/>
    <d v="2025-03-19T00:00:00"/>
    <x v="0"/>
    <x v="2"/>
    <x v="0"/>
    <x v="0"/>
    <x v="1"/>
    <x v="1"/>
    <x v="1"/>
    <x v="1"/>
    <x v="0"/>
    <n v="0"/>
    <x v="0"/>
    <x v="0"/>
    <m/>
    <n v="55.3"/>
  </r>
  <r>
    <s v="USR-100070"/>
    <d v="2025-05-16T00:00:00"/>
    <x v="0"/>
    <x v="0"/>
    <x v="0"/>
    <x v="1"/>
    <x v="1"/>
    <x v="0"/>
    <x v="0"/>
    <x v="0"/>
    <x v="0"/>
    <n v="0"/>
    <x v="0"/>
    <x v="0"/>
    <m/>
    <n v="56.2"/>
  </r>
  <r>
    <s v="USR-100071"/>
    <d v="2025-03-08T00:00:00"/>
    <x v="0"/>
    <x v="1"/>
    <x v="1"/>
    <x v="0"/>
    <x v="1"/>
    <x v="0"/>
    <x v="0"/>
    <x v="0"/>
    <x v="0"/>
    <n v="0"/>
    <x v="0"/>
    <x v="0"/>
    <m/>
    <n v="29.4"/>
  </r>
  <r>
    <s v="USR-100072"/>
    <d v="2025-03-08T00:00:00"/>
    <x v="0"/>
    <x v="2"/>
    <x v="1"/>
    <x v="0"/>
    <x v="1"/>
    <x v="1"/>
    <x v="0"/>
    <x v="0"/>
    <x v="0"/>
    <n v="0"/>
    <x v="0"/>
    <x v="0"/>
    <m/>
    <n v="54.2"/>
  </r>
  <r>
    <s v="USR-100073"/>
    <d v="2025-01-14T00:00:00"/>
    <x v="0"/>
    <x v="2"/>
    <x v="0"/>
    <x v="2"/>
    <x v="0"/>
    <x v="0"/>
    <x v="0"/>
    <x v="0"/>
    <x v="0"/>
    <n v="0"/>
    <x v="0"/>
    <x v="0"/>
    <m/>
    <n v="46.4"/>
  </r>
  <r>
    <s v="USR-100074"/>
    <d v="2025-02-10T00:00:00"/>
    <x v="0"/>
    <x v="3"/>
    <x v="1"/>
    <x v="2"/>
    <x v="0"/>
    <x v="0"/>
    <x v="0"/>
    <x v="0"/>
    <x v="0"/>
    <n v="0"/>
    <x v="0"/>
    <x v="0"/>
    <m/>
    <n v="54.5"/>
  </r>
  <r>
    <s v="USR-100075"/>
    <d v="2025-03-17T00:00:00"/>
    <x v="0"/>
    <x v="0"/>
    <x v="1"/>
    <x v="1"/>
    <x v="1"/>
    <x v="0"/>
    <x v="0"/>
    <x v="0"/>
    <x v="0"/>
    <n v="0"/>
    <x v="0"/>
    <x v="0"/>
    <m/>
    <n v="58.5"/>
  </r>
  <r>
    <s v="USR-100076"/>
    <d v="2025-01-09T00:00:00"/>
    <x v="0"/>
    <x v="3"/>
    <x v="1"/>
    <x v="0"/>
    <x v="1"/>
    <x v="0"/>
    <x v="0"/>
    <x v="0"/>
    <x v="0"/>
    <n v="0"/>
    <x v="0"/>
    <x v="0"/>
    <m/>
    <n v="75.900000000000006"/>
  </r>
  <r>
    <s v="USR-100077"/>
    <d v="2025-04-17T00:00:00"/>
    <x v="0"/>
    <x v="0"/>
    <x v="1"/>
    <x v="3"/>
    <x v="1"/>
    <x v="0"/>
    <x v="0"/>
    <x v="0"/>
    <x v="0"/>
    <n v="0"/>
    <x v="1"/>
    <x v="0"/>
    <m/>
    <n v="84.9"/>
  </r>
  <r>
    <s v="USR-100078"/>
    <d v="2025-01-16T00:00:00"/>
    <x v="0"/>
    <x v="0"/>
    <x v="1"/>
    <x v="1"/>
    <x v="1"/>
    <x v="0"/>
    <x v="0"/>
    <x v="0"/>
    <x v="0"/>
    <n v="0"/>
    <x v="2"/>
    <x v="0"/>
    <m/>
    <n v="48.4"/>
  </r>
  <r>
    <s v="USR-100079"/>
    <d v="2025-02-20T00:00:00"/>
    <x v="0"/>
    <x v="1"/>
    <x v="0"/>
    <x v="1"/>
    <x v="1"/>
    <x v="1"/>
    <x v="1"/>
    <x v="1"/>
    <x v="1"/>
    <n v="457.51"/>
    <x v="0"/>
    <x v="0"/>
    <n v="7"/>
    <n v="38"/>
  </r>
  <r>
    <s v="USR-100080"/>
    <d v="2025-05-21T00:00:00"/>
    <x v="0"/>
    <x v="2"/>
    <x v="1"/>
    <x v="4"/>
    <x v="1"/>
    <x v="1"/>
    <x v="0"/>
    <x v="0"/>
    <x v="0"/>
    <n v="0"/>
    <x v="0"/>
    <x v="0"/>
    <m/>
    <n v="44.2"/>
  </r>
  <r>
    <s v="USR-100081"/>
    <d v="2025-05-08T00:00:00"/>
    <x v="0"/>
    <x v="3"/>
    <x v="1"/>
    <x v="1"/>
    <x v="1"/>
    <x v="1"/>
    <x v="1"/>
    <x v="1"/>
    <x v="0"/>
    <n v="0"/>
    <x v="0"/>
    <x v="0"/>
    <m/>
    <n v="81.2"/>
  </r>
  <r>
    <s v="USR-100082"/>
    <d v="2025-03-08T00:00:00"/>
    <x v="0"/>
    <x v="3"/>
    <x v="1"/>
    <x v="3"/>
    <x v="1"/>
    <x v="1"/>
    <x v="1"/>
    <x v="0"/>
    <x v="0"/>
    <n v="0"/>
    <x v="0"/>
    <x v="0"/>
    <m/>
    <n v="63.8"/>
  </r>
  <r>
    <s v="USR-100083"/>
    <d v="2025-04-01T00:00:00"/>
    <x v="0"/>
    <x v="3"/>
    <x v="0"/>
    <x v="0"/>
    <x v="1"/>
    <x v="0"/>
    <x v="0"/>
    <x v="0"/>
    <x v="0"/>
    <n v="0"/>
    <x v="0"/>
    <x v="0"/>
    <m/>
    <n v="64.7"/>
  </r>
  <r>
    <s v="USR-100084"/>
    <d v="2025-03-03T00:00:00"/>
    <x v="0"/>
    <x v="1"/>
    <x v="1"/>
    <x v="4"/>
    <x v="0"/>
    <x v="0"/>
    <x v="0"/>
    <x v="0"/>
    <x v="0"/>
    <n v="0"/>
    <x v="0"/>
    <x v="0"/>
    <m/>
    <n v="60.4"/>
  </r>
  <r>
    <s v="USR-100085"/>
    <d v="2025-04-16T00:00:00"/>
    <x v="0"/>
    <x v="3"/>
    <x v="1"/>
    <x v="2"/>
    <x v="1"/>
    <x v="0"/>
    <x v="0"/>
    <x v="0"/>
    <x v="0"/>
    <n v="0"/>
    <x v="0"/>
    <x v="0"/>
    <m/>
    <n v="66.599999999999994"/>
  </r>
  <r>
    <s v="USR-100086"/>
    <d v="2025-01-09T00:00:00"/>
    <x v="0"/>
    <x v="0"/>
    <x v="0"/>
    <x v="1"/>
    <x v="1"/>
    <x v="1"/>
    <x v="0"/>
    <x v="0"/>
    <x v="0"/>
    <n v="0"/>
    <x v="0"/>
    <x v="0"/>
    <m/>
    <n v="50.9"/>
  </r>
  <r>
    <s v="USR-100087"/>
    <d v="2025-01-22T00:00:00"/>
    <x v="0"/>
    <x v="1"/>
    <x v="0"/>
    <x v="4"/>
    <x v="0"/>
    <x v="0"/>
    <x v="0"/>
    <x v="0"/>
    <x v="0"/>
    <n v="0"/>
    <x v="0"/>
    <x v="0"/>
    <m/>
    <n v="51"/>
  </r>
  <r>
    <s v="USR-100088"/>
    <d v="2025-04-30T00:00:00"/>
    <x v="0"/>
    <x v="3"/>
    <x v="1"/>
    <x v="0"/>
    <x v="2"/>
    <x v="0"/>
    <x v="0"/>
    <x v="0"/>
    <x v="0"/>
    <n v="0"/>
    <x v="0"/>
    <x v="0"/>
    <m/>
    <n v="65.8"/>
  </r>
  <r>
    <s v="USR-100089"/>
    <d v="2025-04-25T00:00:00"/>
    <x v="0"/>
    <x v="0"/>
    <x v="1"/>
    <x v="3"/>
    <x v="0"/>
    <x v="1"/>
    <x v="0"/>
    <x v="0"/>
    <x v="0"/>
    <n v="0"/>
    <x v="0"/>
    <x v="0"/>
    <m/>
    <n v="61.8"/>
  </r>
  <r>
    <s v="USR-100090"/>
    <d v="2025-02-01T00:00:00"/>
    <x v="0"/>
    <x v="0"/>
    <x v="1"/>
    <x v="1"/>
    <x v="0"/>
    <x v="1"/>
    <x v="0"/>
    <x v="0"/>
    <x v="0"/>
    <n v="0"/>
    <x v="0"/>
    <x v="0"/>
    <m/>
    <n v="54.5"/>
  </r>
  <r>
    <s v="USR-100091"/>
    <d v="2025-04-23T00:00:00"/>
    <x v="0"/>
    <x v="3"/>
    <x v="0"/>
    <x v="1"/>
    <x v="1"/>
    <x v="1"/>
    <x v="0"/>
    <x v="0"/>
    <x v="0"/>
    <n v="0"/>
    <x v="0"/>
    <x v="0"/>
    <m/>
    <n v="72.2"/>
  </r>
  <r>
    <s v="USR-100092"/>
    <d v="2025-02-27T00:00:00"/>
    <x v="0"/>
    <x v="3"/>
    <x v="1"/>
    <x v="4"/>
    <x v="1"/>
    <x v="1"/>
    <x v="0"/>
    <x v="0"/>
    <x v="0"/>
    <n v="0"/>
    <x v="0"/>
    <x v="0"/>
    <m/>
    <n v="42.3"/>
  </r>
  <r>
    <s v="USR-100093"/>
    <d v="2025-04-09T00:00:00"/>
    <x v="0"/>
    <x v="2"/>
    <x v="0"/>
    <x v="1"/>
    <x v="0"/>
    <x v="1"/>
    <x v="0"/>
    <x v="0"/>
    <x v="0"/>
    <n v="0"/>
    <x v="0"/>
    <x v="0"/>
    <m/>
    <n v="76.2"/>
  </r>
  <r>
    <s v="USR-100094"/>
    <d v="2025-05-13T00:00:00"/>
    <x v="0"/>
    <x v="3"/>
    <x v="2"/>
    <x v="1"/>
    <x v="2"/>
    <x v="1"/>
    <x v="1"/>
    <x v="1"/>
    <x v="0"/>
    <n v="0"/>
    <x v="1"/>
    <x v="0"/>
    <m/>
    <n v="37.4"/>
  </r>
  <r>
    <s v="USR-100095"/>
    <d v="2025-04-13T00:00:00"/>
    <x v="0"/>
    <x v="2"/>
    <x v="1"/>
    <x v="1"/>
    <x v="1"/>
    <x v="0"/>
    <x v="0"/>
    <x v="0"/>
    <x v="0"/>
    <n v="0"/>
    <x v="0"/>
    <x v="0"/>
    <m/>
    <n v="84.2"/>
  </r>
  <r>
    <s v="USR-100096"/>
    <d v="2025-02-05T00:00:00"/>
    <x v="0"/>
    <x v="2"/>
    <x v="1"/>
    <x v="4"/>
    <x v="1"/>
    <x v="0"/>
    <x v="0"/>
    <x v="0"/>
    <x v="0"/>
    <n v="0"/>
    <x v="0"/>
    <x v="0"/>
    <m/>
    <n v="68"/>
  </r>
  <r>
    <s v="USR-100097"/>
    <d v="2025-02-14T00:00:00"/>
    <x v="0"/>
    <x v="1"/>
    <x v="1"/>
    <x v="1"/>
    <x v="0"/>
    <x v="1"/>
    <x v="0"/>
    <x v="0"/>
    <x v="0"/>
    <n v="0"/>
    <x v="0"/>
    <x v="0"/>
    <m/>
    <n v="53.5"/>
  </r>
  <r>
    <s v="USR-100098"/>
    <d v="2025-02-11T00:00:00"/>
    <x v="0"/>
    <x v="0"/>
    <x v="0"/>
    <x v="1"/>
    <x v="2"/>
    <x v="1"/>
    <x v="0"/>
    <x v="0"/>
    <x v="0"/>
    <n v="0"/>
    <x v="0"/>
    <x v="0"/>
    <m/>
    <n v="63.2"/>
  </r>
  <r>
    <s v="USR-100099"/>
    <d v="2025-02-11T00:00:00"/>
    <x v="0"/>
    <x v="2"/>
    <x v="0"/>
    <x v="4"/>
    <x v="1"/>
    <x v="1"/>
    <x v="1"/>
    <x v="1"/>
    <x v="1"/>
    <n v="363.32"/>
    <x v="0"/>
    <x v="0"/>
    <n v="9"/>
    <n v="55.9"/>
  </r>
  <r>
    <s v="USR-100100"/>
    <d v="2025-05-26T00:00:00"/>
    <x v="0"/>
    <x v="0"/>
    <x v="1"/>
    <x v="1"/>
    <x v="1"/>
    <x v="1"/>
    <x v="0"/>
    <x v="0"/>
    <x v="0"/>
    <n v="0"/>
    <x v="0"/>
    <x v="0"/>
    <m/>
    <n v="63.5"/>
  </r>
  <r>
    <s v="USR-100101"/>
    <d v="2025-03-22T00:00:00"/>
    <x v="0"/>
    <x v="0"/>
    <x v="1"/>
    <x v="2"/>
    <x v="0"/>
    <x v="1"/>
    <x v="0"/>
    <x v="0"/>
    <x v="0"/>
    <n v="0"/>
    <x v="0"/>
    <x v="0"/>
    <m/>
    <n v="51.5"/>
  </r>
  <r>
    <s v="USR-100102"/>
    <d v="2025-04-08T00:00:00"/>
    <x v="0"/>
    <x v="1"/>
    <x v="1"/>
    <x v="2"/>
    <x v="1"/>
    <x v="1"/>
    <x v="0"/>
    <x v="0"/>
    <x v="0"/>
    <n v="0"/>
    <x v="0"/>
    <x v="0"/>
    <m/>
    <n v="74.400000000000006"/>
  </r>
  <r>
    <s v="USR-100103"/>
    <d v="2025-04-14T00:00:00"/>
    <x v="0"/>
    <x v="0"/>
    <x v="0"/>
    <x v="4"/>
    <x v="1"/>
    <x v="1"/>
    <x v="1"/>
    <x v="1"/>
    <x v="1"/>
    <n v="3887.98"/>
    <x v="0"/>
    <x v="0"/>
    <n v="13"/>
    <n v="60.2"/>
  </r>
  <r>
    <s v="USR-100104"/>
    <d v="2025-03-27T00:00:00"/>
    <x v="0"/>
    <x v="3"/>
    <x v="1"/>
    <x v="0"/>
    <x v="1"/>
    <x v="1"/>
    <x v="0"/>
    <x v="0"/>
    <x v="0"/>
    <n v="0"/>
    <x v="1"/>
    <x v="0"/>
    <m/>
    <n v="67.2"/>
  </r>
  <r>
    <s v="USR-100105"/>
    <d v="2025-01-05T00:00:00"/>
    <x v="0"/>
    <x v="3"/>
    <x v="1"/>
    <x v="4"/>
    <x v="1"/>
    <x v="1"/>
    <x v="1"/>
    <x v="1"/>
    <x v="0"/>
    <n v="0"/>
    <x v="0"/>
    <x v="0"/>
    <m/>
    <n v="79.599999999999994"/>
  </r>
  <r>
    <s v="USR-100106"/>
    <d v="2025-01-25T00:00:00"/>
    <x v="0"/>
    <x v="3"/>
    <x v="1"/>
    <x v="4"/>
    <x v="0"/>
    <x v="1"/>
    <x v="1"/>
    <x v="1"/>
    <x v="1"/>
    <n v="8610.7199999999993"/>
    <x v="0"/>
    <x v="0"/>
    <n v="6"/>
    <n v="61"/>
  </r>
  <r>
    <s v="USR-100107"/>
    <d v="2025-01-23T00:00:00"/>
    <x v="0"/>
    <x v="1"/>
    <x v="1"/>
    <x v="0"/>
    <x v="1"/>
    <x v="1"/>
    <x v="1"/>
    <x v="1"/>
    <x v="0"/>
    <n v="0"/>
    <x v="4"/>
    <x v="0"/>
    <m/>
    <n v="51.1"/>
  </r>
  <r>
    <s v="USR-100108"/>
    <d v="2025-05-25T00:00:00"/>
    <x v="0"/>
    <x v="2"/>
    <x v="0"/>
    <x v="3"/>
    <x v="1"/>
    <x v="1"/>
    <x v="0"/>
    <x v="0"/>
    <x v="0"/>
    <n v="0"/>
    <x v="0"/>
    <x v="0"/>
    <m/>
    <n v="92.1"/>
  </r>
  <r>
    <s v="USR-100109"/>
    <d v="2025-03-22T00:00:00"/>
    <x v="0"/>
    <x v="3"/>
    <x v="1"/>
    <x v="3"/>
    <x v="0"/>
    <x v="0"/>
    <x v="0"/>
    <x v="0"/>
    <x v="0"/>
    <n v="0"/>
    <x v="0"/>
    <x v="0"/>
    <m/>
    <n v="82.1"/>
  </r>
  <r>
    <s v="USR-100110"/>
    <d v="2025-02-12T00:00:00"/>
    <x v="0"/>
    <x v="1"/>
    <x v="0"/>
    <x v="2"/>
    <x v="0"/>
    <x v="1"/>
    <x v="0"/>
    <x v="0"/>
    <x v="0"/>
    <n v="0"/>
    <x v="1"/>
    <x v="0"/>
    <m/>
    <n v="74"/>
  </r>
  <r>
    <s v="USR-100111"/>
    <d v="2025-04-28T00:00:00"/>
    <x v="0"/>
    <x v="1"/>
    <x v="0"/>
    <x v="1"/>
    <x v="0"/>
    <x v="1"/>
    <x v="0"/>
    <x v="0"/>
    <x v="0"/>
    <n v="0"/>
    <x v="0"/>
    <x v="0"/>
    <m/>
    <n v="63.4"/>
  </r>
  <r>
    <s v="USR-100112"/>
    <d v="2025-01-30T00:00:00"/>
    <x v="0"/>
    <x v="0"/>
    <x v="1"/>
    <x v="1"/>
    <x v="0"/>
    <x v="1"/>
    <x v="0"/>
    <x v="0"/>
    <x v="0"/>
    <n v="0"/>
    <x v="0"/>
    <x v="0"/>
    <m/>
    <n v="53.2"/>
  </r>
  <r>
    <s v="USR-100113"/>
    <d v="2025-05-19T00:00:00"/>
    <x v="0"/>
    <x v="2"/>
    <x v="2"/>
    <x v="2"/>
    <x v="1"/>
    <x v="0"/>
    <x v="0"/>
    <x v="0"/>
    <x v="0"/>
    <n v="0"/>
    <x v="0"/>
    <x v="0"/>
    <m/>
    <n v="48.1"/>
  </r>
  <r>
    <s v="USR-100114"/>
    <d v="2025-01-23T00:00:00"/>
    <x v="0"/>
    <x v="3"/>
    <x v="1"/>
    <x v="4"/>
    <x v="1"/>
    <x v="1"/>
    <x v="1"/>
    <x v="0"/>
    <x v="0"/>
    <n v="0"/>
    <x v="0"/>
    <x v="0"/>
    <m/>
    <n v="61.5"/>
  </r>
  <r>
    <s v="USR-100115"/>
    <d v="2025-03-28T00:00:00"/>
    <x v="0"/>
    <x v="2"/>
    <x v="0"/>
    <x v="4"/>
    <x v="1"/>
    <x v="1"/>
    <x v="0"/>
    <x v="0"/>
    <x v="0"/>
    <n v="0"/>
    <x v="0"/>
    <x v="0"/>
    <m/>
    <n v="63.2"/>
  </r>
  <r>
    <s v="USR-100116"/>
    <d v="2025-01-11T00:00:00"/>
    <x v="0"/>
    <x v="1"/>
    <x v="1"/>
    <x v="1"/>
    <x v="1"/>
    <x v="0"/>
    <x v="0"/>
    <x v="0"/>
    <x v="0"/>
    <n v="0"/>
    <x v="0"/>
    <x v="0"/>
    <m/>
    <n v="71.900000000000006"/>
  </r>
  <r>
    <s v="USR-100117"/>
    <d v="2025-04-11T00:00:00"/>
    <x v="0"/>
    <x v="0"/>
    <x v="1"/>
    <x v="3"/>
    <x v="1"/>
    <x v="0"/>
    <x v="0"/>
    <x v="0"/>
    <x v="0"/>
    <n v="0"/>
    <x v="0"/>
    <x v="0"/>
    <m/>
    <n v="62.7"/>
  </r>
  <r>
    <s v="USR-100118"/>
    <d v="2025-01-02T00:00:00"/>
    <x v="0"/>
    <x v="1"/>
    <x v="1"/>
    <x v="2"/>
    <x v="1"/>
    <x v="1"/>
    <x v="0"/>
    <x v="0"/>
    <x v="0"/>
    <n v="0"/>
    <x v="0"/>
    <x v="0"/>
    <m/>
    <n v="51.5"/>
  </r>
  <r>
    <s v="USR-100119"/>
    <d v="2025-03-18T00:00:00"/>
    <x v="0"/>
    <x v="2"/>
    <x v="1"/>
    <x v="4"/>
    <x v="1"/>
    <x v="1"/>
    <x v="1"/>
    <x v="1"/>
    <x v="0"/>
    <n v="0"/>
    <x v="0"/>
    <x v="0"/>
    <m/>
    <n v="39.1"/>
  </r>
  <r>
    <s v="USR-100120"/>
    <d v="2025-03-31T00:00:00"/>
    <x v="0"/>
    <x v="0"/>
    <x v="1"/>
    <x v="0"/>
    <x v="1"/>
    <x v="1"/>
    <x v="0"/>
    <x v="0"/>
    <x v="0"/>
    <n v="0"/>
    <x v="0"/>
    <x v="0"/>
    <m/>
    <n v="43.8"/>
  </r>
  <r>
    <s v="USR-100121"/>
    <d v="2025-01-06T00:00:00"/>
    <x v="0"/>
    <x v="0"/>
    <x v="1"/>
    <x v="2"/>
    <x v="0"/>
    <x v="1"/>
    <x v="0"/>
    <x v="0"/>
    <x v="0"/>
    <n v="0"/>
    <x v="0"/>
    <x v="0"/>
    <m/>
    <n v="59.9"/>
  </r>
  <r>
    <s v="USR-100122"/>
    <d v="2025-01-26T00:00:00"/>
    <x v="0"/>
    <x v="0"/>
    <x v="1"/>
    <x v="3"/>
    <x v="1"/>
    <x v="1"/>
    <x v="1"/>
    <x v="0"/>
    <x v="0"/>
    <n v="0"/>
    <x v="0"/>
    <x v="0"/>
    <m/>
    <n v="71.400000000000006"/>
  </r>
  <r>
    <s v="USR-100123"/>
    <d v="2025-04-22T00:00:00"/>
    <x v="0"/>
    <x v="3"/>
    <x v="1"/>
    <x v="3"/>
    <x v="0"/>
    <x v="0"/>
    <x v="0"/>
    <x v="0"/>
    <x v="0"/>
    <n v="0"/>
    <x v="0"/>
    <x v="0"/>
    <m/>
    <n v="36.1"/>
  </r>
  <r>
    <s v="USR-100124"/>
    <d v="2025-05-30T00:00:00"/>
    <x v="0"/>
    <x v="1"/>
    <x v="3"/>
    <x v="0"/>
    <x v="0"/>
    <x v="1"/>
    <x v="1"/>
    <x v="0"/>
    <x v="0"/>
    <n v="0"/>
    <x v="0"/>
    <x v="0"/>
    <m/>
    <n v="47.9"/>
  </r>
  <r>
    <s v="USR-100125"/>
    <d v="2025-05-18T00:00:00"/>
    <x v="0"/>
    <x v="1"/>
    <x v="0"/>
    <x v="1"/>
    <x v="2"/>
    <x v="1"/>
    <x v="0"/>
    <x v="0"/>
    <x v="0"/>
    <n v="0"/>
    <x v="0"/>
    <x v="0"/>
    <m/>
    <n v="62.5"/>
  </r>
  <r>
    <s v="USR-100126"/>
    <d v="2025-01-13T00:00:00"/>
    <x v="0"/>
    <x v="3"/>
    <x v="0"/>
    <x v="2"/>
    <x v="2"/>
    <x v="1"/>
    <x v="0"/>
    <x v="0"/>
    <x v="0"/>
    <n v="0"/>
    <x v="0"/>
    <x v="0"/>
    <m/>
    <n v="56.9"/>
  </r>
  <r>
    <s v="USR-100127"/>
    <d v="2025-03-25T00:00:00"/>
    <x v="0"/>
    <x v="0"/>
    <x v="0"/>
    <x v="0"/>
    <x v="1"/>
    <x v="0"/>
    <x v="0"/>
    <x v="0"/>
    <x v="0"/>
    <n v="0"/>
    <x v="0"/>
    <x v="0"/>
    <m/>
    <n v="64.7"/>
  </r>
  <r>
    <s v="USR-100128"/>
    <d v="2025-04-29T00:00:00"/>
    <x v="0"/>
    <x v="3"/>
    <x v="0"/>
    <x v="1"/>
    <x v="1"/>
    <x v="1"/>
    <x v="1"/>
    <x v="1"/>
    <x v="0"/>
    <n v="0"/>
    <x v="0"/>
    <x v="0"/>
    <m/>
    <n v="64"/>
  </r>
  <r>
    <s v="USR-100129"/>
    <d v="2025-05-17T00:00:00"/>
    <x v="0"/>
    <x v="2"/>
    <x v="1"/>
    <x v="3"/>
    <x v="0"/>
    <x v="1"/>
    <x v="1"/>
    <x v="1"/>
    <x v="0"/>
    <n v="0"/>
    <x v="0"/>
    <x v="0"/>
    <m/>
    <n v="75.2"/>
  </r>
  <r>
    <s v="USR-100130"/>
    <d v="2025-01-02T00:00:00"/>
    <x v="0"/>
    <x v="0"/>
    <x v="1"/>
    <x v="2"/>
    <x v="1"/>
    <x v="1"/>
    <x v="0"/>
    <x v="0"/>
    <x v="0"/>
    <n v="0"/>
    <x v="1"/>
    <x v="0"/>
    <m/>
    <n v="79"/>
  </r>
  <r>
    <s v="USR-100131"/>
    <d v="2025-02-03T00:00:00"/>
    <x v="0"/>
    <x v="3"/>
    <x v="1"/>
    <x v="1"/>
    <x v="1"/>
    <x v="0"/>
    <x v="0"/>
    <x v="0"/>
    <x v="0"/>
    <n v="0"/>
    <x v="0"/>
    <x v="0"/>
    <m/>
    <n v="33"/>
  </r>
  <r>
    <s v="USR-100132"/>
    <d v="2025-03-04T00:00:00"/>
    <x v="0"/>
    <x v="2"/>
    <x v="1"/>
    <x v="1"/>
    <x v="1"/>
    <x v="1"/>
    <x v="0"/>
    <x v="0"/>
    <x v="0"/>
    <n v="0"/>
    <x v="0"/>
    <x v="0"/>
    <m/>
    <n v="67.900000000000006"/>
  </r>
  <r>
    <s v="USR-100133"/>
    <d v="2025-01-26T00:00:00"/>
    <x v="0"/>
    <x v="3"/>
    <x v="1"/>
    <x v="2"/>
    <x v="0"/>
    <x v="0"/>
    <x v="0"/>
    <x v="0"/>
    <x v="0"/>
    <n v="0"/>
    <x v="0"/>
    <x v="0"/>
    <m/>
    <n v="42.2"/>
  </r>
  <r>
    <s v="USR-100134"/>
    <d v="2025-05-12T00:00:00"/>
    <x v="0"/>
    <x v="1"/>
    <x v="1"/>
    <x v="2"/>
    <x v="0"/>
    <x v="1"/>
    <x v="1"/>
    <x v="1"/>
    <x v="0"/>
    <n v="0"/>
    <x v="0"/>
    <x v="0"/>
    <m/>
    <n v="43.4"/>
  </r>
  <r>
    <s v="USR-100135"/>
    <d v="2025-03-06T00:00:00"/>
    <x v="0"/>
    <x v="0"/>
    <x v="1"/>
    <x v="1"/>
    <x v="0"/>
    <x v="0"/>
    <x v="0"/>
    <x v="0"/>
    <x v="0"/>
    <n v="0"/>
    <x v="0"/>
    <x v="0"/>
    <m/>
    <n v="54.4"/>
  </r>
  <r>
    <s v="USR-100136"/>
    <d v="2025-03-10T00:00:00"/>
    <x v="0"/>
    <x v="3"/>
    <x v="0"/>
    <x v="0"/>
    <x v="2"/>
    <x v="0"/>
    <x v="0"/>
    <x v="0"/>
    <x v="0"/>
    <n v="0"/>
    <x v="0"/>
    <x v="0"/>
    <m/>
    <n v="45.7"/>
  </r>
  <r>
    <s v="USR-100137"/>
    <d v="2025-05-06T00:00:00"/>
    <x v="0"/>
    <x v="0"/>
    <x v="1"/>
    <x v="2"/>
    <x v="1"/>
    <x v="0"/>
    <x v="0"/>
    <x v="0"/>
    <x v="0"/>
    <n v="0"/>
    <x v="3"/>
    <x v="0"/>
    <m/>
    <n v="32"/>
  </r>
  <r>
    <s v="USR-100138"/>
    <d v="2025-02-23T00:00:00"/>
    <x v="0"/>
    <x v="3"/>
    <x v="0"/>
    <x v="2"/>
    <x v="1"/>
    <x v="1"/>
    <x v="0"/>
    <x v="0"/>
    <x v="0"/>
    <n v="0"/>
    <x v="0"/>
    <x v="0"/>
    <m/>
    <n v="70.900000000000006"/>
  </r>
  <r>
    <s v="USR-100139"/>
    <d v="2025-01-29T00:00:00"/>
    <x v="0"/>
    <x v="1"/>
    <x v="1"/>
    <x v="4"/>
    <x v="0"/>
    <x v="1"/>
    <x v="1"/>
    <x v="1"/>
    <x v="0"/>
    <n v="0"/>
    <x v="0"/>
    <x v="0"/>
    <m/>
    <n v="59.1"/>
  </r>
  <r>
    <s v="USR-100140"/>
    <d v="2025-01-31T00:00:00"/>
    <x v="0"/>
    <x v="0"/>
    <x v="1"/>
    <x v="1"/>
    <x v="0"/>
    <x v="0"/>
    <x v="0"/>
    <x v="0"/>
    <x v="0"/>
    <n v="0"/>
    <x v="0"/>
    <x v="0"/>
    <m/>
    <n v="62.4"/>
  </r>
  <r>
    <s v="USR-100141"/>
    <d v="2025-01-19T00:00:00"/>
    <x v="0"/>
    <x v="3"/>
    <x v="1"/>
    <x v="1"/>
    <x v="1"/>
    <x v="0"/>
    <x v="0"/>
    <x v="0"/>
    <x v="0"/>
    <n v="0"/>
    <x v="0"/>
    <x v="0"/>
    <m/>
    <n v="49.6"/>
  </r>
  <r>
    <s v="USR-100142"/>
    <d v="2025-04-03T00:00:00"/>
    <x v="0"/>
    <x v="1"/>
    <x v="0"/>
    <x v="4"/>
    <x v="1"/>
    <x v="1"/>
    <x v="1"/>
    <x v="1"/>
    <x v="1"/>
    <n v="404.4"/>
    <x v="0"/>
    <x v="0"/>
    <n v="9"/>
    <n v="80.599999999999994"/>
  </r>
  <r>
    <s v="USR-100143"/>
    <d v="2025-04-07T00:00:00"/>
    <x v="0"/>
    <x v="0"/>
    <x v="1"/>
    <x v="2"/>
    <x v="1"/>
    <x v="1"/>
    <x v="0"/>
    <x v="0"/>
    <x v="0"/>
    <n v="0"/>
    <x v="0"/>
    <x v="0"/>
    <m/>
    <n v="47.9"/>
  </r>
  <r>
    <s v="USR-100144"/>
    <d v="2025-01-06T00:00:00"/>
    <x v="0"/>
    <x v="2"/>
    <x v="1"/>
    <x v="2"/>
    <x v="0"/>
    <x v="1"/>
    <x v="1"/>
    <x v="0"/>
    <x v="0"/>
    <n v="0"/>
    <x v="0"/>
    <x v="0"/>
    <m/>
    <n v="54.8"/>
  </r>
  <r>
    <s v="USR-100145"/>
    <d v="2025-04-11T00:00:00"/>
    <x v="0"/>
    <x v="2"/>
    <x v="1"/>
    <x v="1"/>
    <x v="1"/>
    <x v="1"/>
    <x v="0"/>
    <x v="0"/>
    <x v="0"/>
    <n v="0"/>
    <x v="1"/>
    <x v="0"/>
    <m/>
    <n v="53.9"/>
  </r>
  <r>
    <s v="USR-100146"/>
    <d v="2025-04-23T00:00:00"/>
    <x v="0"/>
    <x v="2"/>
    <x v="1"/>
    <x v="2"/>
    <x v="1"/>
    <x v="1"/>
    <x v="0"/>
    <x v="0"/>
    <x v="0"/>
    <n v="0"/>
    <x v="0"/>
    <x v="0"/>
    <m/>
    <n v="41.3"/>
  </r>
  <r>
    <s v="USR-100147"/>
    <d v="2025-03-25T00:00:00"/>
    <x v="0"/>
    <x v="1"/>
    <x v="1"/>
    <x v="1"/>
    <x v="0"/>
    <x v="1"/>
    <x v="1"/>
    <x v="0"/>
    <x v="0"/>
    <n v="0"/>
    <x v="0"/>
    <x v="0"/>
    <m/>
    <n v="38.9"/>
  </r>
  <r>
    <s v="USR-100148"/>
    <d v="2025-05-25T00:00:00"/>
    <x v="0"/>
    <x v="3"/>
    <x v="0"/>
    <x v="1"/>
    <x v="0"/>
    <x v="1"/>
    <x v="0"/>
    <x v="0"/>
    <x v="0"/>
    <n v="0"/>
    <x v="0"/>
    <x v="0"/>
    <m/>
    <n v="63.6"/>
  </r>
  <r>
    <s v="USR-100149"/>
    <d v="2025-01-28T00:00:00"/>
    <x v="0"/>
    <x v="0"/>
    <x v="1"/>
    <x v="1"/>
    <x v="1"/>
    <x v="1"/>
    <x v="1"/>
    <x v="1"/>
    <x v="1"/>
    <n v="577.94000000000005"/>
    <x v="0"/>
    <x v="0"/>
    <n v="9"/>
    <n v="76.599999999999994"/>
  </r>
  <r>
    <s v="USR-100150"/>
    <d v="2025-02-12T00:00:00"/>
    <x v="0"/>
    <x v="1"/>
    <x v="1"/>
    <x v="2"/>
    <x v="2"/>
    <x v="0"/>
    <x v="0"/>
    <x v="0"/>
    <x v="0"/>
    <n v="0"/>
    <x v="1"/>
    <x v="0"/>
    <m/>
    <n v="67.599999999999994"/>
  </r>
  <r>
    <s v="USR-100151"/>
    <d v="2025-04-29T00:00:00"/>
    <x v="0"/>
    <x v="0"/>
    <x v="1"/>
    <x v="4"/>
    <x v="2"/>
    <x v="1"/>
    <x v="0"/>
    <x v="0"/>
    <x v="0"/>
    <n v="0"/>
    <x v="0"/>
    <x v="0"/>
    <m/>
    <n v="43.1"/>
  </r>
  <r>
    <s v="USR-100152"/>
    <d v="2025-03-13T00:00:00"/>
    <x v="0"/>
    <x v="3"/>
    <x v="1"/>
    <x v="0"/>
    <x v="1"/>
    <x v="1"/>
    <x v="0"/>
    <x v="0"/>
    <x v="0"/>
    <n v="0"/>
    <x v="0"/>
    <x v="0"/>
    <m/>
    <n v="58.3"/>
  </r>
  <r>
    <s v="USR-100153"/>
    <d v="2025-02-04T00:00:00"/>
    <x v="0"/>
    <x v="2"/>
    <x v="0"/>
    <x v="2"/>
    <x v="1"/>
    <x v="1"/>
    <x v="0"/>
    <x v="0"/>
    <x v="0"/>
    <n v="0"/>
    <x v="0"/>
    <x v="0"/>
    <m/>
    <n v="69.8"/>
  </r>
  <r>
    <s v="USR-100154"/>
    <d v="2025-03-04T00:00:00"/>
    <x v="0"/>
    <x v="3"/>
    <x v="1"/>
    <x v="3"/>
    <x v="1"/>
    <x v="1"/>
    <x v="1"/>
    <x v="0"/>
    <x v="0"/>
    <n v="0"/>
    <x v="0"/>
    <x v="0"/>
    <m/>
    <m/>
  </r>
  <r>
    <s v="USR-100155"/>
    <d v="2025-02-04T00:00:00"/>
    <x v="0"/>
    <x v="1"/>
    <x v="1"/>
    <x v="2"/>
    <x v="0"/>
    <x v="1"/>
    <x v="1"/>
    <x v="0"/>
    <x v="0"/>
    <n v="0"/>
    <x v="0"/>
    <x v="0"/>
    <m/>
    <n v="41.9"/>
  </r>
  <r>
    <s v="USR-100156"/>
    <d v="2025-03-11T00:00:00"/>
    <x v="0"/>
    <x v="0"/>
    <x v="0"/>
    <x v="1"/>
    <x v="1"/>
    <x v="0"/>
    <x v="0"/>
    <x v="0"/>
    <x v="0"/>
    <n v="0"/>
    <x v="0"/>
    <x v="0"/>
    <m/>
    <n v="33.1"/>
  </r>
  <r>
    <s v="USR-100157"/>
    <d v="2025-04-22T00:00:00"/>
    <x v="0"/>
    <x v="1"/>
    <x v="1"/>
    <x v="1"/>
    <x v="1"/>
    <x v="0"/>
    <x v="0"/>
    <x v="0"/>
    <x v="0"/>
    <n v="0"/>
    <x v="0"/>
    <x v="0"/>
    <m/>
    <n v="58.6"/>
  </r>
  <r>
    <s v="USR-100158"/>
    <d v="2025-03-08T00:00:00"/>
    <x v="0"/>
    <x v="0"/>
    <x v="0"/>
    <x v="2"/>
    <x v="1"/>
    <x v="0"/>
    <x v="0"/>
    <x v="0"/>
    <x v="0"/>
    <n v="0"/>
    <x v="0"/>
    <x v="0"/>
    <m/>
    <n v="55.7"/>
  </r>
  <r>
    <s v="USR-100159"/>
    <d v="2025-03-10T00:00:00"/>
    <x v="0"/>
    <x v="2"/>
    <x v="1"/>
    <x v="1"/>
    <x v="1"/>
    <x v="0"/>
    <x v="0"/>
    <x v="0"/>
    <x v="0"/>
    <n v="0"/>
    <x v="2"/>
    <x v="0"/>
    <m/>
    <n v="64.900000000000006"/>
  </r>
  <r>
    <s v="USR-100160"/>
    <d v="2025-05-18T00:00:00"/>
    <x v="0"/>
    <x v="0"/>
    <x v="0"/>
    <x v="2"/>
    <x v="0"/>
    <x v="0"/>
    <x v="0"/>
    <x v="0"/>
    <x v="0"/>
    <n v="0"/>
    <x v="0"/>
    <x v="0"/>
    <m/>
    <n v="72.3"/>
  </r>
  <r>
    <s v="USR-100161"/>
    <d v="2025-05-14T00:00:00"/>
    <x v="0"/>
    <x v="0"/>
    <x v="1"/>
    <x v="4"/>
    <x v="0"/>
    <x v="0"/>
    <x v="0"/>
    <x v="0"/>
    <x v="0"/>
    <n v="0"/>
    <x v="0"/>
    <x v="0"/>
    <m/>
    <n v="42.1"/>
  </r>
  <r>
    <s v="USR-100162"/>
    <d v="2025-02-01T00:00:00"/>
    <x v="0"/>
    <x v="0"/>
    <x v="1"/>
    <x v="1"/>
    <x v="1"/>
    <x v="0"/>
    <x v="0"/>
    <x v="0"/>
    <x v="0"/>
    <n v="0"/>
    <x v="0"/>
    <x v="0"/>
    <m/>
    <m/>
  </r>
  <r>
    <s v="USR-100163"/>
    <d v="2025-04-11T00:00:00"/>
    <x v="0"/>
    <x v="3"/>
    <x v="1"/>
    <x v="1"/>
    <x v="0"/>
    <x v="0"/>
    <x v="0"/>
    <x v="0"/>
    <x v="0"/>
    <n v="0"/>
    <x v="1"/>
    <x v="0"/>
    <m/>
    <n v="64.8"/>
  </r>
  <r>
    <s v="USR-100164"/>
    <d v="2025-02-14T00:00:00"/>
    <x v="0"/>
    <x v="2"/>
    <x v="1"/>
    <x v="1"/>
    <x v="1"/>
    <x v="0"/>
    <x v="0"/>
    <x v="0"/>
    <x v="0"/>
    <n v="0"/>
    <x v="0"/>
    <x v="0"/>
    <m/>
    <n v="72.099999999999994"/>
  </r>
  <r>
    <s v="USR-100165"/>
    <d v="2025-05-19T00:00:00"/>
    <x v="0"/>
    <x v="2"/>
    <x v="1"/>
    <x v="4"/>
    <x v="1"/>
    <x v="1"/>
    <x v="0"/>
    <x v="0"/>
    <x v="0"/>
    <n v="0"/>
    <x v="0"/>
    <x v="0"/>
    <m/>
    <n v="50.6"/>
  </r>
  <r>
    <s v="USR-100166"/>
    <d v="2025-04-26T00:00:00"/>
    <x v="0"/>
    <x v="0"/>
    <x v="0"/>
    <x v="2"/>
    <x v="0"/>
    <x v="1"/>
    <x v="1"/>
    <x v="1"/>
    <x v="1"/>
    <n v="1281.25"/>
    <x v="1"/>
    <x v="0"/>
    <n v="9"/>
    <n v="43.4"/>
  </r>
  <r>
    <s v="USR-100167"/>
    <d v="2025-04-06T00:00:00"/>
    <x v="0"/>
    <x v="3"/>
    <x v="1"/>
    <x v="4"/>
    <x v="1"/>
    <x v="1"/>
    <x v="0"/>
    <x v="0"/>
    <x v="0"/>
    <n v="0"/>
    <x v="0"/>
    <x v="0"/>
    <m/>
    <n v="59.7"/>
  </r>
  <r>
    <s v="USR-100168"/>
    <d v="2025-03-06T00:00:00"/>
    <x v="0"/>
    <x v="3"/>
    <x v="1"/>
    <x v="2"/>
    <x v="1"/>
    <x v="1"/>
    <x v="0"/>
    <x v="0"/>
    <x v="0"/>
    <n v="0"/>
    <x v="1"/>
    <x v="0"/>
    <m/>
    <m/>
  </r>
  <r>
    <s v="USR-100169"/>
    <d v="2025-03-10T00:00:00"/>
    <x v="0"/>
    <x v="1"/>
    <x v="1"/>
    <x v="4"/>
    <x v="0"/>
    <x v="0"/>
    <x v="0"/>
    <x v="0"/>
    <x v="0"/>
    <n v="0"/>
    <x v="0"/>
    <x v="0"/>
    <m/>
    <n v="54.5"/>
  </r>
  <r>
    <s v="USR-100170"/>
    <d v="2025-03-30T00:00:00"/>
    <x v="0"/>
    <x v="0"/>
    <x v="1"/>
    <x v="1"/>
    <x v="1"/>
    <x v="1"/>
    <x v="0"/>
    <x v="0"/>
    <x v="0"/>
    <n v="0"/>
    <x v="0"/>
    <x v="0"/>
    <m/>
    <n v="71.099999999999994"/>
  </r>
  <r>
    <s v="USR-100171"/>
    <d v="2025-05-29T00:00:00"/>
    <x v="0"/>
    <x v="2"/>
    <x v="3"/>
    <x v="2"/>
    <x v="1"/>
    <x v="1"/>
    <x v="1"/>
    <x v="1"/>
    <x v="0"/>
    <n v="0"/>
    <x v="0"/>
    <x v="0"/>
    <m/>
    <n v="44.4"/>
  </r>
  <r>
    <s v="USR-100172"/>
    <d v="2025-03-23T00:00:00"/>
    <x v="0"/>
    <x v="0"/>
    <x v="1"/>
    <x v="1"/>
    <x v="1"/>
    <x v="1"/>
    <x v="0"/>
    <x v="0"/>
    <x v="0"/>
    <n v="0"/>
    <x v="0"/>
    <x v="0"/>
    <m/>
    <n v="61.7"/>
  </r>
  <r>
    <s v="USR-100173"/>
    <d v="2025-02-18T00:00:00"/>
    <x v="0"/>
    <x v="0"/>
    <x v="2"/>
    <x v="1"/>
    <x v="0"/>
    <x v="0"/>
    <x v="0"/>
    <x v="0"/>
    <x v="0"/>
    <n v="0"/>
    <x v="1"/>
    <x v="0"/>
    <m/>
    <n v="81.3"/>
  </r>
  <r>
    <s v="USR-100174"/>
    <d v="2025-01-26T00:00:00"/>
    <x v="0"/>
    <x v="0"/>
    <x v="0"/>
    <x v="0"/>
    <x v="1"/>
    <x v="1"/>
    <x v="0"/>
    <x v="0"/>
    <x v="0"/>
    <n v="0"/>
    <x v="2"/>
    <x v="0"/>
    <m/>
    <n v="28.7"/>
  </r>
  <r>
    <s v="USR-100175"/>
    <d v="2025-04-23T00:00:00"/>
    <x v="0"/>
    <x v="2"/>
    <x v="1"/>
    <x v="4"/>
    <x v="0"/>
    <x v="0"/>
    <x v="0"/>
    <x v="0"/>
    <x v="0"/>
    <n v="0"/>
    <x v="0"/>
    <x v="0"/>
    <m/>
    <n v="53"/>
  </r>
  <r>
    <s v="USR-100176"/>
    <d v="2025-03-16T00:00:00"/>
    <x v="0"/>
    <x v="3"/>
    <x v="2"/>
    <x v="3"/>
    <x v="0"/>
    <x v="1"/>
    <x v="0"/>
    <x v="0"/>
    <x v="0"/>
    <n v="0"/>
    <x v="0"/>
    <x v="0"/>
    <m/>
    <n v="54.9"/>
  </r>
  <r>
    <s v="USR-100177"/>
    <d v="2025-04-29T00:00:00"/>
    <x v="0"/>
    <x v="1"/>
    <x v="1"/>
    <x v="1"/>
    <x v="0"/>
    <x v="1"/>
    <x v="0"/>
    <x v="0"/>
    <x v="0"/>
    <n v="0"/>
    <x v="0"/>
    <x v="0"/>
    <m/>
    <n v="58.2"/>
  </r>
  <r>
    <s v="USR-100178"/>
    <d v="2025-04-06T00:00:00"/>
    <x v="0"/>
    <x v="0"/>
    <x v="1"/>
    <x v="1"/>
    <x v="1"/>
    <x v="0"/>
    <x v="0"/>
    <x v="0"/>
    <x v="0"/>
    <n v="0"/>
    <x v="0"/>
    <x v="0"/>
    <m/>
    <n v="80.599999999999994"/>
  </r>
  <r>
    <s v="USR-100179"/>
    <d v="2025-04-17T00:00:00"/>
    <x v="0"/>
    <x v="0"/>
    <x v="0"/>
    <x v="3"/>
    <x v="2"/>
    <x v="1"/>
    <x v="1"/>
    <x v="1"/>
    <x v="0"/>
    <n v="0"/>
    <x v="0"/>
    <x v="0"/>
    <m/>
    <n v="38.4"/>
  </r>
  <r>
    <s v="USR-100180"/>
    <d v="2025-04-03T00:00:00"/>
    <x v="0"/>
    <x v="3"/>
    <x v="1"/>
    <x v="2"/>
    <x v="1"/>
    <x v="1"/>
    <x v="0"/>
    <x v="0"/>
    <x v="0"/>
    <n v="0"/>
    <x v="0"/>
    <x v="0"/>
    <m/>
    <n v="56.1"/>
  </r>
  <r>
    <s v="USR-100181"/>
    <d v="2025-04-25T00:00:00"/>
    <x v="0"/>
    <x v="1"/>
    <x v="1"/>
    <x v="2"/>
    <x v="1"/>
    <x v="0"/>
    <x v="0"/>
    <x v="0"/>
    <x v="0"/>
    <n v="0"/>
    <x v="0"/>
    <x v="0"/>
    <m/>
    <n v="62.6"/>
  </r>
  <r>
    <s v="USR-100182"/>
    <d v="2025-04-30T00:00:00"/>
    <x v="0"/>
    <x v="3"/>
    <x v="1"/>
    <x v="1"/>
    <x v="2"/>
    <x v="0"/>
    <x v="0"/>
    <x v="0"/>
    <x v="0"/>
    <n v="0"/>
    <x v="0"/>
    <x v="0"/>
    <m/>
    <n v="36.299999999999997"/>
  </r>
  <r>
    <s v="USR-100183"/>
    <d v="2025-03-12T00:00:00"/>
    <x v="0"/>
    <x v="3"/>
    <x v="1"/>
    <x v="2"/>
    <x v="1"/>
    <x v="1"/>
    <x v="0"/>
    <x v="0"/>
    <x v="0"/>
    <n v="0"/>
    <x v="0"/>
    <x v="0"/>
    <m/>
    <n v="52.1"/>
  </r>
  <r>
    <s v="USR-100184"/>
    <d v="2025-05-04T00:00:00"/>
    <x v="0"/>
    <x v="3"/>
    <x v="1"/>
    <x v="1"/>
    <x v="1"/>
    <x v="1"/>
    <x v="0"/>
    <x v="0"/>
    <x v="0"/>
    <n v="0"/>
    <x v="0"/>
    <x v="0"/>
    <m/>
    <n v="45.1"/>
  </r>
  <r>
    <s v="USR-100185"/>
    <d v="2025-02-07T00:00:00"/>
    <x v="0"/>
    <x v="3"/>
    <x v="2"/>
    <x v="2"/>
    <x v="2"/>
    <x v="0"/>
    <x v="0"/>
    <x v="0"/>
    <x v="0"/>
    <n v="0"/>
    <x v="0"/>
    <x v="0"/>
    <m/>
    <n v="67.5"/>
  </r>
  <r>
    <s v="USR-100186"/>
    <d v="2025-04-28T00:00:00"/>
    <x v="0"/>
    <x v="2"/>
    <x v="2"/>
    <x v="0"/>
    <x v="0"/>
    <x v="1"/>
    <x v="1"/>
    <x v="1"/>
    <x v="0"/>
    <n v="0"/>
    <x v="0"/>
    <x v="0"/>
    <m/>
    <n v="80"/>
  </r>
  <r>
    <s v="USR-100187"/>
    <d v="2025-05-15T00:00:00"/>
    <x v="0"/>
    <x v="2"/>
    <x v="0"/>
    <x v="3"/>
    <x v="1"/>
    <x v="0"/>
    <x v="0"/>
    <x v="0"/>
    <x v="0"/>
    <n v="0"/>
    <x v="0"/>
    <x v="0"/>
    <m/>
    <n v="56.4"/>
  </r>
  <r>
    <s v="USR-100188"/>
    <d v="2025-01-18T00:00:00"/>
    <x v="0"/>
    <x v="1"/>
    <x v="1"/>
    <x v="2"/>
    <x v="0"/>
    <x v="0"/>
    <x v="0"/>
    <x v="0"/>
    <x v="0"/>
    <n v="0"/>
    <x v="0"/>
    <x v="0"/>
    <m/>
    <n v="55.4"/>
  </r>
  <r>
    <s v="USR-100189"/>
    <d v="2025-02-15T00:00:00"/>
    <x v="0"/>
    <x v="3"/>
    <x v="1"/>
    <x v="4"/>
    <x v="0"/>
    <x v="1"/>
    <x v="0"/>
    <x v="0"/>
    <x v="0"/>
    <n v="0"/>
    <x v="0"/>
    <x v="0"/>
    <m/>
    <n v="67.900000000000006"/>
  </r>
  <r>
    <s v="USR-100190"/>
    <d v="2025-02-18T00:00:00"/>
    <x v="0"/>
    <x v="0"/>
    <x v="2"/>
    <x v="0"/>
    <x v="1"/>
    <x v="1"/>
    <x v="0"/>
    <x v="0"/>
    <x v="0"/>
    <n v="0"/>
    <x v="0"/>
    <x v="0"/>
    <m/>
    <n v="62.5"/>
  </r>
  <r>
    <s v="USR-100191"/>
    <d v="2025-01-30T00:00:00"/>
    <x v="0"/>
    <x v="3"/>
    <x v="0"/>
    <x v="0"/>
    <x v="0"/>
    <x v="1"/>
    <x v="1"/>
    <x v="1"/>
    <x v="0"/>
    <n v="0"/>
    <x v="0"/>
    <x v="0"/>
    <m/>
    <n v="54.3"/>
  </r>
  <r>
    <s v="USR-100192"/>
    <d v="2025-02-09T00:00:00"/>
    <x v="0"/>
    <x v="3"/>
    <x v="0"/>
    <x v="1"/>
    <x v="0"/>
    <x v="1"/>
    <x v="0"/>
    <x v="0"/>
    <x v="0"/>
    <n v="0"/>
    <x v="0"/>
    <x v="0"/>
    <m/>
    <n v="37.5"/>
  </r>
  <r>
    <s v="USR-100193"/>
    <d v="2025-03-16T00:00:00"/>
    <x v="0"/>
    <x v="1"/>
    <x v="1"/>
    <x v="2"/>
    <x v="0"/>
    <x v="1"/>
    <x v="0"/>
    <x v="0"/>
    <x v="0"/>
    <n v="0"/>
    <x v="0"/>
    <x v="0"/>
    <m/>
    <n v="52.6"/>
  </r>
  <r>
    <s v="USR-100194"/>
    <d v="2025-05-19T00:00:00"/>
    <x v="0"/>
    <x v="0"/>
    <x v="1"/>
    <x v="2"/>
    <x v="1"/>
    <x v="1"/>
    <x v="0"/>
    <x v="0"/>
    <x v="0"/>
    <n v="0"/>
    <x v="0"/>
    <x v="0"/>
    <m/>
    <n v="46.1"/>
  </r>
  <r>
    <s v="USR-100195"/>
    <d v="2025-05-16T00:00:00"/>
    <x v="0"/>
    <x v="3"/>
    <x v="0"/>
    <x v="1"/>
    <x v="0"/>
    <x v="1"/>
    <x v="0"/>
    <x v="0"/>
    <x v="0"/>
    <n v="0"/>
    <x v="0"/>
    <x v="0"/>
    <m/>
    <n v="54.7"/>
  </r>
  <r>
    <s v="USR-100196"/>
    <d v="2025-04-25T00:00:00"/>
    <x v="0"/>
    <x v="1"/>
    <x v="0"/>
    <x v="3"/>
    <x v="0"/>
    <x v="0"/>
    <x v="0"/>
    <x v="0"/>
    <x v="0"/>
    <n v="0"/>
    <x v="0"/>
    <x v="0"/>
    <m/>
    <n v="74.2"/>
  </r>
  <r>
    <s v="USR-100197"/>
    <d v="2025-02-27T00:00:00"/>
    <x v="0"/>
    <x v="0"/>
    <x v="1"/>
    <x v="4"/>
    <x v="0"/>
    <x v="1"/>
    <x v="1"/>
    <x v="1"/>
    <x v="1"/>
    <n v="1052.8"/>
    <x v="2"/>
    <x v="0"/>
    <n v="6"/>
    <n v="64.7"/>
  </r>
  <r>
    <s v="USR-100198"/>
    <d v="2025-04-26T00:00:00"/>
    <x v="0"/>
    <x v="3"/>
    <x v="1"/>
    <x v="2"/>
    <x v="0"/>
    <x v="0"/>
    <x v="0"/>
    <x v="0"/>
    <x v="0"/>
    <n v="0"/>
    <x v="0"/>
    <x v="0"/>
    <m/>
    <n v="65.900000000000006"/>
  </r>
  <r>
    <s v="USR-100199"/>
    <d v="2025-05-14T00:00:00"/>
    <x v="0"/>
    <x v="0"/>
    <x v="1"/>
    <x v="1"/>
    <x v="0"/>
    <x v="1"/>
    <x v="0"/>
    <x v="0"/>
    <x v="0"/>
    <n v="0"/>
    <x v="0"/>
    <x v="0"/>
    <m/>
    <n v="64"/>
  </r>
  <r>
    <s v="USR-100200"/>
    <d v="2025-03-05T00:00:00"/>
    <x v="0"/>
    <x v="0"/>
    <x v="1"/>
    <x v="1"/>
    <x v="2"/>
    <x v="1"/>
    <x v="0"/>
    <x v="0"/>
    <x v="0"/>
    <n v="0"/>
    <x v="0"/>
    <x v="0"/>
    <m/>
    <n v="57.2"/>
  </r>
  <r>
    <s v="USR-100201"/>
    <d v="2025-04-02T00:00:00"/>
    <x v="0"/>
    <x v="1"/>
    <x v="0"/>
    <x v="1"/>
    <x v="1"/>
    <x v="1"/>
    <x v="0"/>
    <x v="0"/>
    <x v="0"/>
    <n v="0"/>
    <x v="0"/>
    <x v="0"/>
    <m/>
    <n v="80.5"/>
  </r>
  <r>
    <s v="USR-100202"/>
    <d v="2025-05-14T00:00:00"/>
    <x v="0"/>
    <x v="3"/>
    <x v="2"/>
    <x v="1"/>
    <x v="1"/>
    <x v="0"/>
    <x v="0"/>
    <x v="0"/>
    <x v="0"/>
    <n v="0"/>
    <x v="0"/>
    <x v="0"/>
    <m/>
    <n v="53.9"/>
  </r>
  <r>
    <s v="USR-100203"/>
    <d v="2025-05-21T00:00:00"/>
    <x v="0"/>
    <x v="0"/>
    <x v="1"/>
    <x v="2"/>
    <x v="1"/>
    <x v="1"/>
    <x v="1"/>
    <x v="0"/>
    <x v="0"/>
    <n v="0"/>
    <x v="0"/>
    <x v="0"/>
    <m/>
    <n v="77.5"/>
  </r>
  <r>
    <s v="USR-100204"/>
    <d v="2025-01-27T00:00:00"/>
    <x v="0"/>
    <x v="2"/>
    <x v="1"/>
    <x v="4"/>
    <x v="0"/>
    <x v="0"/>
    <x v="0"/>
    <x v="0"/>
    <x v="0"/>
    <n v="0"/>
    <x v="0"/>
    <x v="0"/>
    <m/>
    <n v="84.2"/>
  </r>
  <r>
    <s v="USR-100205"/>
    <d v="2025-05-22T00:00:00"/>
    <x v="0"/>
    <x v="1"/>
    <x v="0"/>
    <x v="1"/>
    <x v="1"/>
    <x v="1"/>
    <x v="1"/>
    <x v="0"/>
    <x v="0"/>
    <n v="0"/>
    <x v="0"/>
    <x v="0"/>
    <m/>
    <n v="54.9"/>
  </r>
  <r>
    <s v="USR-100206"/>
    <d v="2025-05-19T00:00:00"/>
    <x v="0"/>
    <x v="3"/>
    <x v="1"/>
    <x v="2"/>
    <x v="1"/>
    <x v="0"/>
    <x v="0"/>
    <x v="0"/>
    <x v="0"/>
    <n v="0"/>
    <x v="0"/>
    <x v="0"/>
    <m/>
    <n v="69.3"/>
  </r>
  <r>
    <s v="USR-100207"/>
    <d v="2025-01-14T00:00:00"/>
    <x v="0"/>
    <x v="3"/>
    <x v="0"/>
    <x v="2"/>
    <x v="1"/>
    <x v="1"/>
    <x v="0"/>
    <x v="0"/>
    <x v="0"/>
    <n v="0"/>
    <x v="2"/>
    <x v="0"/>
    <m/>
    <n v="42.3"/>
  </r>
  <r>
    <s v="USR-100208"/>
    <d v="2025-01-21T00:00:00"/>
    <x v="0"/>
    <x v="0"/>
    <x v="0"/>
    <x v="3"/>
    <x v="2"/>
    <x v="1"/>
    <x v="0"/>
    <x v="0"/>
    <x v="0"/>
    <n v="0"/>
    <x v="1"/>
    <x v="0"/>
    <m/>
    <n v="69.599999999999994"/>
  </r>
  <r>
    <s v="USR-100209"/>
    <d v="2025-05-16T00:00:00"/>
    <x v="0"/>
    <x v="2"/>
    <x v="1"/>
    <x v="1"/>
    <x v="1"/>
    <x v="0"/>
    <x v="0"/>
    <x v="0"/>
    <x v="0"/>
    <n v="0"/>
    <x v="0"/>
    <x v="0"/>
    <m/>
    <n v="40.700000000000003"/>
  </r>
  <r>
    <s v="USR-100210"/>
    <d v="2025-02-02T00:00:00"/>
    <x v="0"/>
    <x v="0"/>
    <x v="1"/>
    <x v="0"/>
    <x v="1"/>
    <x v="1"/>
    <x v="0"/>
    <x v="0"/>
    <x v="0"/>
    <n v="0"/>
    <x v="0"/>
    <x v="0"/>
    <m/>
    <n v="54"/>
  </r>
  <r>
    <s v="USR-100211"/>
    <d v="2025-03-23T00:00:00"/>
    <x v="0"/>
    <x v="2"/>
    <x v="3"/>
    <x v="3"/>
    <x v="1"/>
    <x v="1"/>
    <x v="1"/>
    <x v="1"/>
    <x v="1"/>
    <n v="553.37"/>
    <x v="0"/>
    <x v="0"/>
    <n v="5"/>
    <n v="46.3"/>
  </r>
  <r>
    <s v="USR-100212"/>
    <d v="2025-01-24T00:00:00"/>
    <x v="0"/>
    <x v="2"/>
    <x v="1"/>
    <x v="1"/>
    <x v="1"/>
    <x v="1"/>
    <x v="0"/>
    <x v="0"/>
    <x v="0"/>
    <n v="0"/>
    <x v="0"/>
    <x v="0"/>
    <m/>
    <n v="64.2"/>
  </r>
  <r>
    <s v="USR-100213"/>
    <d v="2025-04-12T00:00:00"/>
    <x v="0"/>
    <x v="0"/>
    <x v="0"/>
    <x v="1"/>
    <x v="1"/>
    <x v="1"/>
    <x v="0"/>
    <x v="0"/>
    <x v="0"/>
    <n v="0"/>
    <x v="0"/>
    <x v="0"/>
    <m/>
    <n v="75.2"/>
  </r>
  <r>
    <s v="USR-100214"/>
    <d v="2025-02-18T00:00:00"/>
    <x v="0"/>
    <x v="2"/>
    <x v="0"/>
    <x v="2"/>
    <x v="1"/>
    <x v="1"/>
    <x v="1"/>
    <x v="0"/>
    <x v="0"/>
    <n v="0"/>
    <x v="0"/>
    <x v="0"/>
    <m/>
    <n v="60.9"/>
  </r>
  <r>
    <s v="USR-100215"/>
    <d v="2025-05-28T00:00:00"/>
    <x v="0"/>
    <x v="3"/>
    <x v="1"/>
    <x v="0"/>
    <x v="0"/>
    <x v="1"/>
    <x v="1"/>
    <x v="1"/>
    <x v="0"/>
    <n v="0"/>
    <x v="0"/>
    <x v="0"/>
    <m/>
    <n v="62.1"/>
  </r>
  <r>
    <s v="USR-100216"/>
    <d v="2025-04-18T00:00:00"/>
    <x v="0"/>
    <x v="3"/>
    <x v="1"/>
    <x v="4"/>
    <x v="0"/>
    <x v="0"/>
    <x v="0"/>
    <x v="0"/>
    <x v="0"/>
    <n v="0"/>
    <x v="0"/>
    <x v="0"/>
    <m/>
    <n v="45.4"/>
  </r>
  <r>
    <s v="USR-100217"/>
    <d v="2025-03-27T00:00:00"/>
    <x v="0"/>
    <x v="0"/>
    <x v="1"/>
    <x v="2"/>
    <x v="0"/>
    <x v="1"/>
    <x v="0"/>
    <x v="0"/>
    <x v="0"/>
    <n v="0"/>
    <x v="0"/>
    <x v="0"/>
    <m/>
    <n v="53.3"/>
  </r>
  <r>
    <s v="USR-100218"/>
    <d v="2025-02-25T00:00:00"/>
    <x v="0"/>
    <x v="0"/>
    <x v="2"/>
    <x v="4"/>
    <x v="1"/>
    <x v="1"/>
    <x v="0"/>
    <x v="0"/>
    <x v="0"/>
    <n v="0"/>
    <x v="0"/>
    <x v="0"/>
    <m/>
    <m/>
  </r>
  <r>
    <s v="USR-100219"/>
    <d v="2025-02-19T00:00:00"/>
    <x v="0"/>
    <x v="2"/>
    <x v="1"/>
    <x v="2"/>
    <x v="1"/>
    <x v="0"/>
    <x v="0"/>
    <x v="0"/>
    <x v="0"/>
    <n v="0"/>
    <x v="1"/>
    <x v="0"/>
    <m/>
    <n v="38.200000000000003"/>
  </r>
  <r>
    <s v="USR-100220"/>
    <d v="2025-04-11T00:00:00"/>
    <x v="0"/>
    <x v="1"/>
    <x v="1"/>
    <x v="2"/>
    <x v="1"/>
    <x v="1"/>
    <x v="1"/>
    <x v="0"/>
    <x v="0"/>
    <n v="0"/>
    <x v="3"/>
    <x v="0"/>
    <m/>
    <n v="59"/>
  </r>
  <r>
    <s v="USR-100221"/>
    <d v="2025-01-22T00:00:00"/>
    <x v="0"/>
    <x v="2"/>
    <x v="2"/>
    <x v="3"/>
    <x v="2"/>
    <x v="1"/>
    <x v="1"/>
    <x v="1"/>
    <x v="0"/>
    <n v="0"/>
    <x v="0"/>
    <x v="0"/>
    <m/>
    <n v="80.599999999999994"/>
  </r>
  <r>
    <s v="USR-100222"/>
    <d v="2025-01-12T00:00:00"/>
    <x v="0"/>
    <x v="3"/>
    <x v="1"/>
    <x v="4"/>
    <x v="1"/>
    <x v="1"/>
    <x v="0"/>
    <x v="0"/>
    <x v="0"/>
    <n v="0"/>
    <x v="0"/>
    <x v="0"/>
    <m/>
    <n v="67"/>
  </r>
  <r>
    <s v="USR-100223"/>
    <d v="2025-02-17T00:00:00"/>
    <x v="0"/>
    <x v="1"/>
    <x v="1"/>
    <x v="0"/>
    <x v="1"/>
    <x v="1"/>
    <x v="0"/>
    <x v="0"/>
    <x v="0"/>
    <n v="0"/>
    <x v="1"/>
    <x v="0"/>
    <m/>
    <n v="72.099999999999994"/>
  </r>
  <r>
    <s v="USR-100224"/>
    <d v="2025-04-11T00:00:00"/>
    <x v="0"/>
    <x v="1"/>
    <x v="0"/>
    <x v="1"/>
    <x v="1"/>
    <x v="0"/>
    <x v="0"/>
    <x v="0"/>
    <x v="0"/>
    <n v="0"/>
    <x v="0"/>
    <x v="0"/>
    <m/>
    <n v="74.099999999999994"/>
  </r>
  <r>
    <s v="USR-100225"/>
    <d v="2025-05-25T00:00:00"/>
    <x v="0"/>
    <x v="3"/>
    <x v="1"/>
    <x v="3"/>
    <x v="2"/>
    <x v="0"/>
    <x v="0"/>
    <x v="0"/>
    <x v="0"/>
    <n v="0"/>
    <x v="0"/>
    <x v="0"/>
    <m/>
    <n v="84.8"/>
  </r>
  <r>
    <s v="USR-100226"/>
    <d v="2025-03-12T00:00:00"/>
    <x v="0"/>
    <x v="3"/>
    <x v="1"/>
    <x v="1"/>
    <x v="0"/>
    <x v="1"/>
    <x v="0"/>
    <x v="0"/>
    <x v="0"/>
    <n v="0"/>
    <x v="0"/>
    <x v="0"/>
    <m/>
    <n v="33"/>
  </r>
  <r>
    <s v="USR-100227"/>
    <d v="2025-04-20T00:00:00"/>
    <x v="0"/>
    <x v="0"/>
    <x v="2"/>
    <x v="0"/>
    <x v="1"/>
    <x v="0"/>
    <x v="0"/>
    <x v="0"/>
    <x v="0"/>
    <n v="0"/>
    <x v="0"/>
    <x v="0"/>
    <m/>
    <n v="52.5"/>
  </r>
  <r>
    <s v="USR-100228"/>
    <d v="2025-02-23T00:00:00"/>
    <x v="0"/>
    <x v="0"/>
    <x v="2"/>
    <x v="1"/>
    <x v="1"/>
    <x v="0"/>
    <x v="0"/>
    <x v="0"/>
    <x v="0"/>
    <n v="0"/>
    <x v="0"/>
    <x v="0"/>
    <m/>
    <n v="66.900000000000006"/>
  </r>
  <r>
    <s v="USR-100229"/>
    <d v="2025-01-24T00:00:00"/>
    <x v="0"/>
    <x v="0"/>
    <x v="1"/>
    <x v="1"/>
    <x v="0"/>
    <x v="1"/>
    <x v="1"/>
    <x v="1"/>
    <x v="0"/>
    <n v="0"/>
    <x v="1"/>
    <x v="0"/>
    <m/>
    <n v="32.700000000000003"/>
  </r>
  <r>
    <s v="USR-100230"/>
    <d v="2025-01-16T00:00:00"/>
    <x v="0"/>
    <x v="1"/>
    <x v="1"/>
    <x v="1"/>
    <x v="2"/>
    <x v="1"/>
    <x v="1"/>
    <x v="1"/>
    <x v="0"/>
    <n v="0"/>
    <x v="1"/>
    <x v="0"/>
    <m/>
    <n v="70.599999999999994"/>
  </r>
  <r>
    <s v="USR-100231"/>
    <d v="2025-02-17T00:00:00"/>
    <x v="0"/>
    <x v="0"/>
    <x v="1"/>
    <x v="4"/>
    <x v="1"/>
    <x v="0"/>
    <x v="0"/>
    <x v="0"/>
    <x v="0"/>
    <n v="0"/>
    <x v="0"/>
    <x v="0"/>
    <m/>
    <n v="69.400000000000006"/>
  </r>
  <r>
    <s v="USR-100232"/>
    <d v="2025-05-04T00:00:00"/>
    <x v="0"/>
    <x v="0"/>
    <x v="0"/>
    <x v="1"/>
    <x v="0"/>
    <x v="1"/>
    <x v="0"/>
    <x v="0"/>
    <x v="0"/>
    <n v="0"/>
    <x v="0"/>
    <x v="0"/>
    <m/>
    <n v="56.1"/>
  </r>
  <r>
    <s v="USR-100233"/>
    <d v="2025-01-12T00:00:00"/>
    <x v="0"/>
    <x v="1"/>
    <x v="1"/>
    <x v="1"/>
    <x v="0"/>
    <x v="0"/>
    <x v="0"/>
    <x v="0"/>
    <x v="0"/>
    <n v="0"/>
    <x v="0"/>
    <x v="0"/>
    <m/>
    <n v="55.8"/>
  </r>
  <r>
    <s v="USR-100234"/>
    <d v="2025-04-28T00:00:00"/>
    <x v="0"/>
    <x v="0"/>
    <x v="2"/>
    <x v="1"/>
    <x v="1"/>
    <x v="0"/>
    <x v="0"/>
    <x v="0"/>
    <x v="0"/>
    <n v="0"/>
    <x v="0"/>
    <x v="0"/>
    <m/>
    <n v="49.3"/>
  </r>
  <r>
    <s v="USR-100235"/>
    <d v="2025-02-26T00:00:00"/>
    <x v="0"/>
    <x v="0"/>
    <x v="1"/>
    <x v="1"/>
    <x v="1"/>
    <x v="0"/>
    <x v="0"/>
    <x v="0"/>
    <x v="0"/>
    <n v="0"/>
    <x v="0"/>
    <x v="0"/>
    <m/>
    <n v="71.8"/>
  </r>
  <r>
    <s v="USR-100236"/>
    <d v="2025-03-18T00:00:00"/>
    <x v="0"/>
    <x v="1"/>
    <x v="1"/>
    <x v="4"/>
    <x v="1"/>
    <x v="1"/>
    <x v="0"/>
    <x v="0"/>
    <x v="0"/>
    <n v="0"/>
    <x v="3"/>
    <x v="0"/>
    <m/>
    <n v="39.700000000000003"/>
  </r>
  <r>
    <s v="USR-100237"/>
    <d v="2025-03-01T00:00:00"/>
    <x v="0"/>
    <x v="3"/>
    <x v="0"/>
    <x v="1"/>
    <x v="2"/>
    <x v="1"/>
    <x v="0"/>
    <x v="0"/>
    <x v="0"/>
    <n v="0"/>
    <x v="0"/>
    <x v="0"/>
    <m/>
    <n v="45.4"/>
  </r>
  <r>
    <s v="USR-100238"/>
    <d v="2025-04-05T00:00:00"/>
    <x v="0"/>
    <x v="0"/>
    <x v="0"/>
    <x v="4"/>
    <x v="2"/>
    <x v="1"/>
    <x v="0"/>
    <x v="0"/>
    <x v="0"/>
    <n v="0"/>
    <x v="0"/>
    <x v="0"/>
    <m/>
    <n v="69.900000000000006"/>
  </r>
  <r>
    <s v="USR-100239"/>
    <d v="2025-03-12T00:00:00"/>
    <x v="0"/>
    <x v="0"/>
    <x v="0"/>
    <x v="4"/>
    <x v="1"/>
    <x v="1"/>
    <x v="1"/>
    <x v="1"/>
    <x v="0"/>
    <n v="0"/>
    <x v="0"/>
    <x v="0"/>
    <m/>
    <n v="56.1"/>
  </r>
  <r>
    <s v="USR-100240"/>
    <d v="2025-03-15T00:00:00"/>
    <x v="0"/>
    <x v="1"/>
    <x v="1"/>
    <x v="3"/>
    <x v="0"/>
    <x v="1"/>
    <x v="1"/>
    <x v="0"/>
    <x v="0"/>
    <n v="0"/>
    <x v="0"/>
    <x v="0"/>
    <m/>
    <n v="45.9"/>
  </r>
  <r>
    <s v="USR-100241"/>
    <d v="2025-02-23T00:00:00"/>
    <x v="0"/>
    <x v="1"/>
    <x v="1"/>
    <x v="0"/>
    <x v="1"/>
    <x v="0"/>
    <x v="0"/>
    <x v="0"/>
    <x v="0"/>
    <n v="0"/>
    <x v="0"/>
    <x v="0"/>
    <m/>
    <n v="65.8"/>
  </r>
  <r>
    <s v="USR-100242"/>
    <d v="2025-04-22T00:00:00"/>
    <x v="0"/>
    <x v="0"/>
    <x v="1"/>
    <x v="1"/>
    <x v="0"/>
    <x v="1"/>
    <x v="0"/>
    <x v="0"/>
    <x v="0"/>
    <n v="0"/>
    <x v="0"/>
    <x v="0"/>
    <m/>
    <n v="48.2"/>
  </r>
  <r>
    <s v="USR-100243"/>
    <d v="2025-01-09T00:00:00"/>
    <x v="0"/>
    <x v="2"/>
    <x v="1"/>
    <x v="1"/>
    <x v="0"/>
    <x v="1"/>
    <x v="1"/>
    <x v="1"/>
    <x v="0"/>
    <n v="0"/>
    <x v="0"/>
    <x v="0"/>
    <m/>
    <n v="81.099999999999994"/>
  </r>
  <r>
    <s v="USR-100244"/>
    <d v="2025-03-05T00:00:00"/>
    <x v="0"/>
    <x v="2"/>
    <x v="2"/>
    <x v="4"/>
    <x v="2"/>
    <x v="1"/>
    <x v="1"/>
    <x v="0"/>
    <x v="0"/>
    <n v="0"/>
    <x v="0"/>
    <x v="0"/>
    <m/>
    <n v="53.2"/>
  </r>
  <r>
    <s v="USR-100245"/>
    <d v="2025-01-28T00:00:00"/>
    <x v="0"/>
    <x v="0"/>
    <x v="1"/>
    <x v="4"/>
    <x v="1"/>
    <x v="1"/>
    <x v="1"/>
    <x v="1"/>
    <x v="0"/>
    <n v="0"/>
    <x v="0"/>
    <x v="0"/>
    <m/>
    <n v="57.7"/>
  </r>
  <r>
    <s v="USR-100246"/>
    <d v="2025-01-21T00:00:00"/>
    <x v="0"/>
    <x v="1"/>
    <x v="1"/>
    <x v="2"/>
    <x v="2"/>
    <x v="1"/>
    <x v="1"/>
    <x v="0"/>
    <x v="0"/>
    <n v="0"/>
    <x v="0"/>
    <x v="0"/>
    <m/>
    <n v="78.900000000000006"/>
  </r>
  <r>
    <s v="USR-100247"/>
    <d v="2025-03-14T00:00:00"/>
    <x v="0"/>
    <x v="3"/>
    <x v="1"/>
    <x v="3"/>
    <x v="0"/>
    <x v="0"/>
    <x v="0"/>
    <x v="0"/>
    <x v="0"/>
    <n v="0"/>
    <x v="0"/>
    <x v="0"/>
    <m/>
    <n v="55.7"/>
  </r>
  <r>
    <s v="USR-100248"/>
    <d v="2025-02-03T00:00:00"/>
    <x v="0"/>
    <x v="1"/>
    <x v="1"/>
    <x v="2"/>
    <x v="1"/>
    <x v="0"/>
    <x v="0"/>
    <x v="0"/>
    <x v="0"/>
    <n v="0"/>
    <x v="0"/>
    <x v="0"/>
    <m/>
    <n v="52.3"/>
  </r>
  <r>
    <s v="USR-100249"/>
    <d v="2025-05-22T00:00:00"/>
    <x v="0"/>
    <x v="0"/>
    <x v="1"/>
    <x v="4"/>
    <x v="1"/>
    <x v="1"/>
    <x v="0"/>
    <x v="0"/>
    <x v="0"/>
    <n v="0"/>
    <x v="0"/>
    <x v="0"/>
    <m/>
    <n v="51.5"/>
  </r>
  <r>
    <s v="USR-100250"/>
    <d v="2025-04-25T00:00:00"/>
    <x v="0"/>
    <x v="0"/>
    <x v="0"/>
    <x v="0"/>
    <x v="1"/>
    <x v="1"/>
    <x v="0"/>
    <x v="0"/>
    <x v="0"/>
    <n v="0"/>
    <x v="0"/>
    <x v="0"/>
    <m/>
    <n v="70.8"/>
  </r>
  <r>
    <s v="USR-100251"/>
    <d v="2025-01-30T00:00:00"/>
    <x v="0"/>
    <x v="0"/>
    <x v="0"/>
    <x v="0"/>
    <x v="0"/>
    <x v="1"/>
    <x v="1"/>
    <x v="1"/>
    <x v="1"/>
    <n v="1250.78"/>
    <x v="0"/>
    <x v="0"/>
    <n v="10"/>
    <n v="39"/>
  </r>
  <r>
    <s v="USR-100252"/>
    <d v="2025-05-23T00:00:00"/>
    <x v="0"/>
    <x v="1"/>
    <x v="1"/>
    <x v="1"/>
    <x v="1"/>
    <x v="1"/>
    <x v="0"/>
    <x v="0"/>
    <x v="0"/>
    <n v="0"/>
    <x v="0"/>
    <x v="0"/>
    <m/>
    <n v="61.6"/>
  </r>
  <r>
    <s v="USR-100253"/>
    <d v="2025-02-14T00:00:00"/>
    <x v="0"/>
    <x v="2"/>
    <x v="0"/>
    <x v="1"/>
    <x v="1"/>
    <x v="1"/>
    <x v="1"/>
    <x v="1"/>
    <x v="0"/>
    <n v="0"/>
    <x v="0"/>
    <x v="0"/>
    <m/>
    <n v="46.8"/>
  </r>
  <r>
    <s v="USR-100254"/>
    <d v="2025-03-05T00:00:00"/>
    <x v="0"/>
    <x v="0"/>
    <x v="1"/>
    <x v="2"/>
    <x v="2"/>
    <x v="0"/>
    <x v="0"/>
    <x v="0"/>
    <x v="0"/>
    <n v="0"/>
    <x v="1"/>
    <x v="0"/>
    <m/>
    <n v="58.5"/>
  </r>
  <r>
    <s v="USR-100255"/>
    <d v="2025-05-27T00:00:00"/>
    <x v="0"/>
    <x v="0"/>
    <x v="1"/>
    <x v="2"/>
    <x v="0"/>
    <x v="0"/>
    <x v="0"/>
    <x v="0"/>
    <x v="0"/>
    <n v="0"/>
    <x v="0"/>
    <x v="0"/>
    <m/>
    <n v="70.900000000000006"/>
  </r>
  <r>
    <s v="USR-100256"/>
    <d v="2025-01-07T00:00:00"/>
    <x v="0"/>
    <x v="3"/>
    <x v="1"/>
    <x v="2"/>
    <x v="1"/>
    <x v="1"/>
    <x v="0"/>
    <x v="0"/>
    <x v="0"/>
    <n v="0"/>
    <x v="0"/>
    <x v="0"/>
    <m/>
    <n v="48.4"/>
  </r>
  <r>
    <s v="USR-100257"/>
    <d v="2025-04-21T00:00:00"/>
    <x v="0"/>
    <x v="0"/>
    <x v="1"/>
    <x v="0"/>
    <x v="1"/>
    <x v="1"/>
    <x v="0"/>
    <x v="0"/>
    <x v="0"/>
    <n v="0"/>
    <x v="0"/>
    <x v="0"/>
    <m/>
    <n v="58"/>
  </r>
  <r>
    <s v="USR-100258"/>
    <d v="2025-05-13T00:00:00"/>
    <x v="0"/>
    <x v="0"/>
    <x v="1"/>
    <x v="2"/>
    <x v="1"/>
    <x v="0"/>
    <x v="0"/>
    <x v="0"/>
    <x v="0"/>
    <n v="0"/>
    <x v="0"/>
    <x v="0"/>
    <m/>
    <n v="61.6"/>
  </r>
  <r>
    <s v="USR-100259"/>
    <d v="2025-01-28T00:00:00"/>
    <x v="0"/>
    <x v="2"/>
    <x v="0"/>
    <x v="1"/>
    <x v="1"/>
    <x v="1"/>
    <x v="0"/>
    <x v="0"/>
    <x v="0"/>
    <n v="0"/>
    <x v="0"/>
    <x v="0"/>
    <m/>
    <n v="43.2"/>
  </r>
  <r>
    <s v="USR-100260"/>
    <d v="2025-03-16T00:00:00"/>
    <x v="0"/>
    <x v="2"/>
    <x v="0"/>
    <x v="2"/>
    <x v="0"/>
    <x v="1"/>
    <x v="0"/>
    <x v="0"/>
    <x v="0"/>
    <n v="0"/>
    <x v="1"/>
    <x v="0"/>
    <m/>
    <n v="53.3"/>
  </r>
  <r>
    <s v="USR-100261"/>
    <d v="2025-04-10T00:00:00"/>
    <x v="0"/>
    <x v="2"/>
    <x v="0"/>
    <x v="4"/>
    <x v="0"/>
    <x v="0"/>
    <x v="0"/>
    <x v="0"/>
    <x v="0"/>
    <n v="0"/>
    <x v="0"/>
    <x v="0"/>
    <m/>
    <n v="33.9"/>
  </r>
  <r>
    <s v="USR-100262"/>
    <d v="2025-03-15T00:00:00"/>
    <x v="0"/>
    <x v="2"/>
    <x v="0"/>
    <x v="3"/>
    <x v="1"/>
    <x v="1"/>
    <x v="1"/>
    <x v="1"/>
    <x v="0"/>
    <n v="0"/>
    <x v="0"/>
    <x v="0"/>
    <m/>
    <n v="35.4"/>
  </r>
  <r>
    <s v="USR-100263"/>
    <d v="2025-04-07T00:00:00"/>
    <x v="0"/>
    <x v="1"/>
    <x v="0"/>
    <x v="1"/>
    <x v="0"/>
    <x v="1"/>
    <x v="0"/>
    <x v="0"/>
    <x v="0"/>
    <n v="0"/>
    <x v="0"/>
    <x v="0"/>
    <m/>
    <n v="45"/>
  </r>
  <r>
    <s v="USR-100264"/>
    <d v="2025-02-12T00:00:00"/>
    <x v="0"/>
    <x v="3"/>
    <x v="1"/>
    <x v="1"/>
    <x v="1"/>
    <x v="1"/>
    <x v="1"/>
    <x v="0"/>
    <x v="0"/>
    <n v="0"/>
    <x v="0"/>
    <x v="0"/>
    <m/>
    <n v="86.5"/>
  </r>
  <r>
    <s v="USR-100265"/>
    <d v="2025-05-05T00:00:00"/>
    <x v="0"/>
    <x v="1"/>
    <x v="1"/>
    <x v="4"/>
    <x v="1"/>
    <x v="0"/>
    <x v="0"/>
    <x v="0"/>
    <x v="0"/>
    <n v="0"/>
    <x v="0"/>
    <x v="0"/>
    <m/>
    <n v="58.1"/>
  </r>
  <r>
    <s v="USR-100266"/>
    <d v="2025-03-11T00:00:00"/>
    <x v="0"/>
    <x v="1"/>
    <x v="1"/>
    <x v="3"/>
    <x v="1"/>
    <x v="1"/>
    <x v="0"/>
    <x v="0"/>
    <x v="0"/>
    <n v="0"/>
    <x v="0"/>
    <x v="0"/>
    <m/>
    <n v="36.1"/>
  </r>
  <r>
    <s v="USR-100267"/>
    <d v="2025-02-10T00:00:00"/>
    <x v="0"/>
    <x v="2"/>
    <x v="1"/>
    <x v="4"/>
    <x v="1"/>
    <x v="0"/>
    <x v="0"/>
    <x v="0"/>
    <x v="0"/>
    <n v="0"/>
    <x v="0"/>
    <x v="0"/>
    <m/>
    <n v="62.8"/>
  </r>
  <r>
    <s v="USR-100268"/>
    <d v="2025-04-06T00:00:00"/>
    <x v="0"/>
    <x v="3"/>
    <x v="1"/>
    <x v="1"/>
    <x v="1"/>
    <x v="0"/>
    <x v="0"/>
    <x v="0"/>
    <x v="0"/>
    <n v="0"/>
    <x v="0"/>
    <x v="0"/>
    <m/>
    <n v="54.2"/>
  </r>
  <r>
    <s v="USR-100269"/>
    <d v="2025-01-06T00:00:00"/>
    <x v="0"/>
    <x v="2"/>
    <x v="1"/>
    <x v="3"/>
    <x v="1"/>
    <x v="0"/>
    <x v="0"/>
    <x v="0"/>
    <x v="0"/>
    <n v="0"/>
    <x v="0"/>
    <x v="0"/>
    <m/>
    <n v="50"/>
  </r>
  <r>
    <s v="USR-100270"/>
    <d v="2025-03-25T00:00:00"/>
    <x v="0"/>
    <x v="2"/>
    <x v="2"/>
    <x v="2"/>
    <x v="0"/>
    <x v="1"/>
    <x v="0"/>
    <x v="0"/>
    <x v="0"/>
    <n v="0"/>
    <x v="0"/>
    <x v="0"/>
    <m/>
    <n v="62"/>
  </r>
  <r>
    <s v="USR-100271"/>
    <d v="2025-02-13T00:00:00"/>
    <x v="0"/>
    <x v="2"/>
    <x v="0"/>
    <x v="3"/>
    <x v="1"/>
    <x v="1"/>
    <x v="0"/>
    <x v="0"/>
    <x v="0"/>
    <n v="0"/>
    <x v="0"/>
    <x v="0"/>
    <m/>
    <n v="29.3"/>
  </r>
  <r>
    <s v="USR-100272"/>
    <d v="2025-03-17T00:00:00"/>
    <x v="0"/>
    <x v="1"/>
    <x v="0"/>
    <x v="1"/>
    <x v="1"/>
    <x v="1"/>
    <x v="0"/>
    <x v="0"/>
    <x v="0"/>
    <n v="0"/>
    <x v="0"/>
    <x v="0"/>
    <m/>
    <n v="67.900000000000006"/>
  </r>
  <r>
    <s v="USR-100273"/>
    <d v="2025-05-10T00:00:00"/>
    <x v="0"/>
    <x v="0"/>
    <x v="1"/>
    <x v="3"/>
    <x v="1"/>
    <x v="1"/>
    <x v="1"/>
    <x v="1"/>
    <x v="0"/>
    <n v="0"/>
    <x v="0"/>
    <x v="0"/>
    <m/>
    <n v="67.599999999999994"/>
  </r>
  <r>
    <s v="USR-100274"/>
    <d v="2025-05-07T00:00:00"/>
    <x v="0"/>
    <x v="3"/>
    <x v="1"/>
    <x v="2"/>
    <x v="0"/>
    <x v="0"/>
    <x v="0"/>
    <x v="0"/>
    <x v="0"/>
    <n v="0"/>
    <x v="0"/>
    <x v="0"/>
    <m/>
    <n v="67.400000000000006"/>
  </r>
  <r>
    <s v="USR-100275"/>
    <d v="2025-02-26T00:00:00"/>
    <x v="0"/>
    <x v="1"/>
    <x v="0"/>
    <x v="2"/>
    <x v="2"/>
    <x v="0"/>
    <x v="0"/>
    <x v="0"/>
    <x v="0"/>
    <n v="0"/>
    <x v="2"/>
    <x v="0"/>
    <m/>
    <n v="53"/>
  </r>
  <r>
    <s v="USR-100276"/>
    <d v="2025-05-11T00:00:00"/>
    <x v="0"/>
    <x v="0"/>
    <x v="1"/>
    <x v="1"/>
    <x v="0"/>
    <x v="0"/>
    <x v="0"/>
    <x v="0"/>
    <x v="0"/>
    <n v="0"/>
    <x v="0"/>
    <x v="0"/>
    <m/>
    <n v="65.5"/>
  </r>
  <r>
    <s v="USR-100277"/>
    <d v="2025-03-20T00:00:00"/>
    <x v="0"/>
    <x v="3"/>
    <x v="1"/>
    <x v="1"/>
    <x v="0"/>
    <x v="1"/>
    <x v="1"/>
    <x v="0"/>
    <x v="0"/>
    <n v="0"/>
    <x v="0"/>
    <x v="0"/>
    <m/>
    <n v="49.6"/>
  </r>
  <r>
    <s v="USR-100278"/>
    <d v="2025-01-19T00:00:00"/>
    <x v="0"/>
    <x v="0"/>
    <x v="1"/>
    <x v="0"/>
    <x v="1"/>
    <x v="1"/>
    <x v="1"/>
    <x v="0"/>
    <x v="0"/>
    <n v="0"/>
    <x v="0"/>
    <x v="0"/>
    <m/>
    <n v="74.5"/>
  </r>
  <r>
    <s v="USR-100279"/>
    <d v="2025-03-08T00:00:00"/>
    <x v="0"/>
    <x v="0"/>
    <x v="2"/>
    <x v="2"/>
    <x v="2"/>
    <x v="1"/>
    <x v="0"/>
    <x v="0"/>
    <x v="0"/>
    <n v="0"/>
    <x v="1"/>
    <x v="0"/>
    <m/>
    <n v="46.9"/>
  </r>
  <r>
    <s v="USR-100280"/>
    <d v="2025-04-25T00:00:00"/>
    <x v="0"/>
    <x v="0"/>
    <x v="1"/>
    <x v="1"/>
    <x v="1"/>
    <x v="0"/>
    <x v="0"/>
    <x v="0"/>
    <x v="0"/>
    <n v="0"/>
    <x v="0"/>
    <x v="0"/>
    <m/>
    <n v="87.1"/>
  </r>
  <r>
    <s v="USR-100281"/>
    <d v="2025-04-04T00:00:00"/>
    <x v="0"/>
    <x v="0"/>
    <x v="0"/>
    <x v="1"/>
    <x v="1"/>
    <x v="1"/>
    <x v="0"/>
    <x v="0"/>
    <x v="0"/>
    <n v="0"/>
    <x v="0"/>
    <x v="0"/>
    <m/>
    <n v="56"/>
  </r>
  <r>
    <s v="USR-100282"/>
    <d v="2025-05-01T00:00:00"/>
    <x v="0"/>
    <x v="2"/>
    <x v="1"/>
    <x v="2"/>
    <x v="2"/>
    <x v="1"/>
    <x v="0"/>
    <x v="0"/>
    <x v="0"/>
    <n v="0"/>
    <x v="1"/>
    <x v="0"/>
    <m/>
    <n v="61.7"/>
  </r>
  <r>
    <s v="USR-100283"/>
    <d v="2025-01-21T00:00:00"/>
    <x v="0"/>
    <x v="3"/>
    <x v="1"/>
    <x v="4"/>
    <x v="1"/>
    <x v="1"/>
    <x v="0"/>
    <x v="0"/>
    <x v="0"/>
    <n v="0"/>
    <x v="1"/>
    <x v="0"/>
    <m/>
    <n v="70.5"/>
  </r>
  <r>
    <s v="USR-100284"/>
    <d v="2025-02-10T00:00:00"/>
    <x v="0"/>
    <x v="0"/>
    <x v="0"/>
    <x v="3"/>
    <x v="0"/>
    <x v="1"/>
    <x v="0"/>
    <x v="0"/>
    <x v="0"/>
    <n v="0"/>
    <x v="0"/>
    <x v="0"/>
    <m/>
    <n v="33.4"/>
  </r>
  <r>
    <s v="USR-100285"/>
    <d v="2025-05-06T00:00:00"/>
    <x v="0"/>
    <x v="3"/>
    <x v="0"/>
    <x v="1"/>
    <x v="1"/>
    <x v="1"/>
    <x v="0"/>
    <x v="0"/>
    <x v="0"/>
    <n v="0"/>
    <x v="0"/>
    <x v="0"/>
    <m/>
    <n v="57.5"/>
  </r>
  <r>
    <s v="USR-100286"/>
    <d v="2025-02-08T00:00:00"/>
    <x v="0"/>
    <x v="0"/>
    <x v="0"/>
    <x v="2"/>
    <x v="0"/>
    <x v="1"/>
    <x v="1"/>
    <x v="0"/>
    <x v="0"/>
    <n v="0"/>
    <x v="0"/>
    <x v="0"/>
    <m/>
    <n v="85.7"/>
  </r>
  <r>
    <s v="USR-100287"/>
    <d v="2025-05-31T00:00:00"/>
    <x v="0"/>
    <x v="2"/>
    <x v="1"/>
    <x v="4"/>
    <x v="1"/>
    <x v="1"/>
    <x v="0"/>
    <x v="0"/>
    <x v="0"/>
    <n v="0"/>
    <x v="0"/>
    <x v="0"/>
    <m/>
    <n v="41.9"/>
  </r>
  <r>
    <s v="USR-100288"/>
    <d v="2025-02-07T00:00:00"/>
    <x v="0"/>
    <x v="1"/>
    <x v="1"/>
    <x v="0"/>
    <x v="0"/>
    <x v="1"/>
    <x v="0"/>
    <x v="0"/>
    <x v="0"/>
    <n v="0"/>
    <x v="0"/>
    <x v="0"/>
    <m/>
    <n v="70.2"/>
  </r>
  <r>
    <s v="USR-100289"/>
    <d v="2025-02-10T00:00:00"/>
    <x v="0"/>
    <x v="0"/>
    <x v="1"/>
    <x v="4"/>
    <x v="1"/>
    <x v="1"/>
    <x v="0"/>
    <x v="0"/>
    <x v="0"/>
    <n v="0"/>
    <x v="0"/>
    <x v="0"/>
    <m/>
    <n v="42.6"/>
  </r>
  <r>
    <s v="USR-100290"/>
    <d v="2025-01-31T00:00:00"/>
    <x v="0"/>
    <x v="1"/>
    <x v="1"/>
    <x v="4"/>
    <x v="0"/>
    <x v="0"/>
    <x v="0"/>
    <x v="0"/>
    <x v="0"/>
    <n v="0"/>
    <x v="2"/>
    <x v="0"/>
    <m/>
    <n v="30.4"/>
  </r>
  <r>
    <s v="USR-100291"/>
    <d v="2025-03-16T00:00:00"/>
    <x v="0"/>
    <x v="2"/>
    <x v="1"/>
    <x v="2"/>
    <x v="0"/>
    <x v="1"/>
    <x v="0"/>
    <x v="0"/>
    <x v="0"/>
    <n v="0"/>
    <x v="0"/>
    <x v="0"/>
    <m/>
    <n v="63.7"/>
  </r>
  <r>
    <s v="USR-100292"/>
    <d v="2025-04-24T00:00:00"/>
    <x v="0"/>
    <x v="3"/>
    <x v="1"/>
    <x v="4"/>
    <x v="0"/>
    <x v="0"/>
    <x v="0"/>
    <x v="0"/>
    <x v="0"/>
    <n v="0"/>
    <x v="0"/>
    <x v="0"/>
    <m/>
    <n v="42.7"/>
  </r>
  <r>
    <s v="USR-100293"/>
    <d v="2025-01-28T00:00:00"/>
    <x v="0"/>
    <x v="0"/>
    <x v="1"/>
    <x v="1"/>
    <x v="1"/>
    <x v="0"/>
    <x v="0"/>
    <x v="0"/>
    <x v="0"/>
    <n v="0"/>
    <x v="0"/>
    <x v="0"/>
    <m/>
    <n v="74.3"/>
  </r>
  <r>
    <s v="USR-100294"/>
    <d v="2025-02-16T00:00:00"/>
    <x v="0"/>
    <x v="1"/>
    <x v="0"/>
    <x v="0"/>
    <x v="1"/>
    <x v="1"/>
    <x v="0"/>
    <x v="0"/>
    <x v="0"/>
    <n v="0"/>
    <x v="0"/>
    <x v="0"/>
    <m/>
    <n v="40.6"/>
  </r>
  <r>
    <s v="USR-100295"/>
    <d v="2025-03-23T00:00:00"/>
    <x v="0"/>
    <x v="2"/>
    <x v="1"/>
    <x v="1"/>
    <x v="2"/>
    <x v="0"/>
    <x v="0"/>
    <x v="0"/>
    <x v="0"/>
    <n v="0"/>
    <x v="0"/>
    <x v="0"/>
    <m/>
    <n v="67"/>
  </r>
  <r>
    <s v="USR-100296"/>
    <d v="2025-05-31T00:00:00"/>
    <x v="0"/>
    <x v="2"/>
    <x v="1"/>
    <x v="2"/>
    <x v="2"/>
    <x v="0"/>
    <x v="0"/>
    <x v="0"/>
    <x v="0"/>
    <n v="0"/>
    <x v="0"/>
    <x v="0"/>
    <m/>
    <n v="51"/>
  </r>
  <r>
    <s v="USR-100297"/>
    <d v="2025-04-13T00:00:00"/>
    <x v="0"/>
    <x v="1"/>
    <x v="1"/>
    <x v="4"/>
    <x v="0"/>
    <x v="1"/>
    <x v="1"/>
    <x v="0"/>
    <x v="0"/>
    <n v="0"/>
    <x v="1"/>
    <x v="0"/>
    <m/>
    <n v="54.8"/>
  </r>
  <r>
    <s v="USR-100298"/>
    <d v="2025-05-14T00:00:00"/>
    <x v="0"/>
    <x v="0"/>
    <x v="2"/>
    <x v="0"/>
    <x v="0"/>
    <x v="0"/>
    <x v="0"/>
    <x v="0"/>
    <x v="0"/>
    <n v="0"/>
    <x v="0"/>
    <x v="0"/>
    <m/>
    <n v="40.799999999999997"/>
  </r>
  <r>
    <s v="USR-100299"/>
    <d v="2025-02-19T00:00:00"/>
    <x v="0"/>
    <x v="2"/>
    <x v="1"/>
    <x v="2"/>
    <x v="1"/>
    <x v="0"/>
    <x v="0"/>
    <x v="0"/>
    <x v="0"/>
    <n v="0"/>
    <x v="0"/>
    <x v="0"/>
    <m/>
    <n v="48.8"/>
  </r>
  <r>
    <s v="USR-100300"/>
    <d v="2025-01-24T00:00:00"/>
    <x v="0"/>
    <x v="3"/>
    <x v="1"/>
    <x v="5"/>
    <x v="0"/>
    <x v="1"/>
    <x v="1"/>
    <x v="1"/>
    <x v="1"/>
    <n v="1198.69"/>
    <x v="1"/>
    <x v="0"/>
    <n v="6"/>
    <n v="88.9"/>
  </r>
  <r>
    <s v="USR-100301"/>
    <d v="2025-05-09T00:00:00"/>
    <x v="0"/>
    <x v="0"/>
    <x v="1"/>
    <x v="0"/>
    <x v="0"/>
    <x v="1"/>
    <x v="1"/>
    <x v="1"/>
    <x v="0"/>
    <n v="0"/>
    <x v="1"/>
    <x v="0"/>
    <m/>
    <n v="60.5"/>
  </r>
  <r>
    <s v="USR-100302"/>
    <d v="2025-02-11T00:00:00"/>
    <x v="0"/>
    <x v="0"/>
    <x v="1"/>
    <x v="1"/>
    <x v="0"/>
    <x v="1"/>
    <x v="0"/>
    <x v="0"/>
    <x v="0"/>
    <n v="0"/>
    <x v="0"/>
    <x v="0"/>
    <m/>
    <n v="63.6"/>
  </r>
  <r>
    <s v="USR-100303"/>
    <d v="2025-02-26T00:00:00"/>
    <x v="0"/>
    <x v="0"/>
    <x v="0"/>
    <x v="1"/>
    <x v="0"/>
    <x v="1"/>
    <x v="1"/>
    <x v="1"/>
    <x v="1"/>
    <n v="6788.95"/>
    <x v="0"/>
    <x v="0"/>
    <n v="17"/>
    <n v="58.4"/>
  </r>
  <r>
    <s v="USR-100304"/>
    <d v="2025-02-12T00:00:00"/>
    <x v="0"/>
    <x v="3"/>
    <x v="1"/>
    <x v="4"/>
    <x v="2"/>
    <x v="0"/>
    <x v="0"/>
    <x v="0"/>
    <x v="0"/>
    <n v="0"/>
    <x v="0"/>
    <x v="0"/>
    <m/>
    <n v="52.7"/>
  </r>
  <r>
    <s v="USR-100305"/>
    <d v="2025-01-05T00:00:00"/>
    <x v="0"/>
    <x v="3"/>
    <x v="2"/>
    <x v="4"/>
    <x v="2"/>
    <x v="1"/>
    <x v="1"/>
    <x v="1"/>
    <x v="0"/>
    <n v="0"/>
    <x v="2"/>
    <x v="0"/>
    <m/>
    <n v="48.9"/>
  </r>
  <r>
    <s v="USR-100306"/>
    <d v="2025-05-19T00:00:00"/>
    <x v="0"/>
    <x v="1"/>
    <x v="1"/>
    <x v="1"/>
    <x v="2"/>
    <x v="0"/>
    <x v="0"/>
    <x v="0"/>
    <x v="0"/>
    <n v="0"/>
    <x v="0"/>
    <x v="0"/>
    <m/>
    <n v="79.7"/>
  </r>
  <r>
    <s v="USR-100307"/>
    <d v="2025-02-02T00:00:00"/>
    <x v="0"/>
    <x v="0"/>
    <x v="1"/>
    <x v="4"/>
    <x v="1"/>
    <x v="1"/>
    <x v="0"/>
    <x v="0"/>
    <x v="0"/>
    <n v="0"/>
    <x v="0"/>
    <x v="0"/>
    <m/>
    <n v="44.9"/>
  </r>
  <r>
    <s v="USR-100308"/>
    <d v="2025-01-30T00:00:00"/>
    <x v="0"/>
    <x v="1"/>
    <x v="2"/>
    <x v="2"/>
    <x v="1"/>
    <x v="1"/>
    <x v="1"/>
    <x v="1"/>
    <x v="1"/>
    <n v="409.39"/>
    <x v="0"/>
    <x v="0"/>
    <n v="10"/>
    <n v="38.799999999999997"/>
  </r>
  <r>
    <s v="USR-100309"/>
    <d v="2025-05-01T00:00:00"/>
    <x v="0"/>
    <x v="3"/>
    <x v="0"/>
    <x v="0"/>
    <x v="1"/>
    <x v="0"/>
    <x v="0"/>
    <x v="0"/>
    <x v="0"/>
    <n v="0"/>
    <x v="0"/>
    <x v="0"/>
    <m/>
    <n v="70"/>
  </r>
  <r>
    <s v="USR-100310"/>
    <d v="2025-05-16T00:00:00"/>
    <x v="0"/>
    <x v="3"/>
    <x v="0"/>
    <x v="3"/>
    <x v="0"/>
    <x v="1"/>
    <x v="0"/>
    <x v="0"/>
    <x v="0"/>
    <n v="0"/>
    <x v="0"/>
    <x v="0"/>
    <m/>
    <n v="77.7"/>
  </r>
  <r>
    <s v="USR-100311"/>
    <d v="2025-03-08T00:00:00"/>
    <x v="0"/>
    <x v="1"/>
    <x v="1"/>
    <x v="1"/>
    <x v="1"/>
    <x v="0"/>
    <x v="0"/>
    <x v="0"/>
    <x v="0"/>
    <n v="0"/>
    <x v="0"/>
    <x v="0"/>
    <m/>
    <n v="71.2"/>
  </r>
  <r>
    <s v="USR-100312"/>
    <d v="2025-04-04T00:00:00"/>
    <x v="0"/>
    <x v="0"/>
    <x v="1"/>
    <x v="1"/>
    <x v="0"/>
    <x v="1"/>
    <x v="0"/>
    <x v="0"/>
    <x v="0"/>
    <n v="0"/>
    <x v="0"/>
    <x v="0"/>
    <m/>
    <n v="43.8"/>
  </r>
  <r>
    <s v="USR-100313"/>
    <d v="2025-05-30T00:00:00"/>
    <x v="0"/>
    <x v="3"/>
    <x v="2"/>
    <x v="1"/>
    <x v="1"/>
    <x v="1"/>
    <x v="0"/>
    <x v="0"/>
    <x v="0"/>
    <n v="0"/>
    <x v="0"/>
    <x v="0"/>
    <m/>
    <n v="50.9"/>
  </r>
  <r>
    <s v="USR-100314"/>
    <d v="2025-01-05T00:00:00"/>
    <x v="0"/>
    <x v="1"/>
    <x v="1"/>
    <x v="1"/>
    <x v="2"/>
    <x v="0"/>
    <x v="0"/>
    <x v="0"/>
    <x v="0"/>
    <n v="0"/>
    <x v="0"/>
    <x v="0"/>
    <m/>
    <n v="58.5"/>
  </r>
  <r>
    <s v="USR-100315"/>
    <d v="2025-01-20T00:00:00"/>
    <x v="0"/>
    <x v="2"/>
    <x v="1"/>
    <x v="1"/>
    <x v="1"/>
    <x v="1"/>
    <x v="1"/>
    <x v="1"/>
    <x v="0"/>
    <n v="0"/>
    <x v="0"/>
    <x v="0"/>
    <m/>
    <n v="53.6"/>
  </r>
  <r>
    <s v="USR-100316"/>
    <d v="2025-05-01T00:00:00"/>
    <x v="0"/>
    <x v="2"/>
    <x v="1"/>
    <x v="0"/>
    <x v="1"/>
    <x v="0"/>
    <x v="0"/>
    <x v="0"/>
    <x v="0"/>
    <n v="0"/>
    <x v="0"/>
    <x v="0"/>
    <m/>
    <n v="54.9"/>
  </r>
  <r>
    <s v="USR-100317"/>
    <d v="2025-03-05T00:00:00"/>
    <x v="0"/>
    <x v="0"/>
    <x v="0"/>
    <x v="1"/>
    <x v="2"/>
    <x v="0"/>
    <x v="0"/>
    <x v="0"/>
    <x v="0"/>
    <n v="0"/>
    <x v="0"/>
    <x v="0"/>
    <m/>
    <n v="57.3"/>
  </r>
  <r>
    <s v="USR-100318"/>
    <d v="2025-04-01T00:00:00"/>
    <x v="0"/>
    <x v="2"/>
    <x v="0"/>
    <x v="3"/>
    <x v="1"/>
    <x v="1"/>
    <x v="0"/>
    <x v="0"/>
    <x v="0"/>
    <n v="0"/>
    <x v="0"/>
    <x v="0"/>
    <m/>
    <n v="52.1"/>
  </r>
  <r>
    <s v="USR-100319"/>
    <d v="2025-05-03T00:00:00"/>
    <x v="0"/>
    <x v="0"/>
    <x v="1"/>
    <x v="1"/>
    <x v="1"/>
    <x v="1"/>
    <x v="0"/>
    <x v="0"/>
    <x v="0"/>
    <n v="0"/>
    <x v="0"/>
    <x v="0"/>
    <m/>
    <n v="80"/>
  </r>
  <r>
    <s v="USR-100320"/>
    <d v="2025-03-06T00:00:00"/>
    <x v="0"/>
    <x v="3"/>
    <x v="0"/>
    <x v="2"/>
    <x v="2"/>
    <x v="1"/>
    <x v="0"/>
    <x v="0"/>
    <x v="0"/>
    <n v="0"/>
    <x v="0"/>
    <x v="0"/>
    <m/>
    <n v="39.299999999999997"/>
  </r>
  <r>
    <s v="USR-100321"/>
    <d v="2025-04-01T00:00:00"/>
    <x v="0"/>
    <x v="0"/>
    <x v="0"/>
    <x v="3"/>
    <x v="2"/>
    <x v="0"/>
    <x v="0"/>
    <x v="0"/>
    <x v="0"/>
    <n v="0"/>
    <x v="0"/>
    <x v="0"/>
    <m/>
    <n v="45.7"/>
  </r>
  <r>
    <s v="USR-100322"/>
    <d v="2025-02-09T00:00:00"/>
    <x v="0"/>
    <x v="0"/>
    <x v="0"/>
    <x v="4"/>
    <x v="0"/>
    <x v="1"/>
    <x v="0"/>
    <x v="0"/>
    <x v="0"/>
    <n v="0"/>
    <x v="2"/>
    <x v="0"/>
    <m/>
    <n v="61.2"/>
  </r>
  <r>
    <s v="USR-100323"/>
    <d v="2025-04-12T00:00:00"/>
    <x v="0"/>
    <x v="1"/>
    <x v="1"/>
    <x v="1"/>
    <x v="0"/>
    <x v="1"/>
    <x v="1"/>
    <x v="0"/>
    <x v="0"/>
    <n v="0"/>
    <x v="0"/>
    <x v="0"/>
    <m/>
    <n v="66.2"/>
  </r>
  <r>
    <s v="USR-100324"/>
    <d v="2025-03-18T00:00:00"/>
    <x v="0"/>
    <x v="2"/>
    <x v="1"/>
    <x v="4"/>
    <x v="1"/>
    <x v="1"/>
    <x v="1"/>
    <x v="1"/>
    <x v="0"/>
    <n v="0"/>
    <x v="0"/>
    <x v="0"/>
    <m/>
    <n v="61.3"/>
  </r>
  <r>
    <s v="USR-100325"/>
    <d v="2025-04-03T00:00:00"/>
    <x v="0"/>
    <x v="2"/>
    <x v="1"/>
    <x v="2"/>
    <x v="1"/>
    <x v="1"/>
    <x v="0"/>
    <x v="0"/>
    <x v="0"/>
    <n v="0"/>
    <x v="0"/>
    <x v="0"/>
    <m/>
    <n v="72.2"/>
  </r>
  <r>
    <s v="USR-100326"/>
    <d v="2025-04-02T00:00:00"/>
    <x v="0"/>
    <x v="1"/>
    <x v="1"/>
    <x v="0"/>
    <x v="2"/>
    <x v="1"/>
    <x v="1"/>
    <x v="1"/>
    <x v="0"/>
    <n v="0"/>
    <x v="0"/>
    <x v="0"/>
    <m/>
    <n v="84"/>
  </r>
  <r>
    <s v="USR-100327"/>
    <d v="2025-05-10T00:00:00"/>
    <x v="0"/>
    <x v="1"/>
    <x v="0"/>
    <x v="0"/>
    <x v="0"/>
    <x v="0"/>
    <x v="0"/>
    <x v="0"/>
    <x v="0"/>
    <n v="0"/>
    <x v="0"/>
    <x v="0"/>
    <m/>
    <n v="59.8"/>
  </r>
  <r>
    <s v="USR-100328"/>
    <d v="2025-04-29T00:00:00"/>
    <x v="0"/>
    <x v="1"/>
    <x v="0"/>
    <x v="2"/>
    <x v="1"/>
    <x v="1"/>
    <x v="0"/>
    <x v="0"/>
    <x v="0"/>
    <n v="0"/>
    <x v="0"/>
    <x v="0"/>
    <m/>
    <n v="64.900000000000006"/>
  </r>
  <r>
    <s v="USR-100329"/>
    <d v="2025-02-27T00:00:00"/>
    <x v="0"/>
    <x v="3"/>
    <x v="1"/>
    <x v="2"/>
    <x v="1"/>
    <x v="1"/>
    <x v="0"/>
    <x v="0"/>
    <x v="0"/>
    <n v="0"/>
    <x v="0"/>
    <x v="0"/>
    <m/>
    <n v="66.8"/>
  </r>
  <r>
    <s v="USR-100330"/>
    <d v="2025-04-10T00:00:00"/>
    <x v="0"/>
    <x v="0"/>
    <x v="0"/>
    <x v="1"/>
    <x v="2"/>
    <x v="0"/>
    <x v="0"/>
    <x v="0"/>
    <x v="0"/>
    <n v="0"/>
    <x v="0"/>
    <x v="0"/>
    <m/>
    <n v="70.900000000000006"/>
  </r>
  <r>
    <s v="USR-100331"/>
    <d v="2025-02-13T00:00:00"/>
    <x v="0"/>
    <x v="2"/>
    <x v="1"/>
    <x v="1"/>
    <x v="1"/>
    <x v="1"/>
    <x v="1"/>
    <x v="1"/>
    <x v="1"/>
    <n v="426.82"/>
    <x v="1"/>
    <x v="0"/>
    <n v="14"/>
    <n v="68.8"/>
  </r>
  <r>
    <s v="USR-100332"/>
    <d v="2025-05-03T00:00:00"/>
    <x v="0"/>
    <x v="0"/>
    <x v="1"/>
    <x v="1"/>
    <x v="0"/>
    <x v="1"/>
    <x v="0"/>
    <x v="0"/>
    <x v="0"/>
    <n v="0"/>
    <x v="0"/>
    <x v="0"/>
    <m/>
    <n v="72.400000000000006"/>
  </r>
  <r>
    <s v="USR-100333"/>
    <d v="2025-03-10T00:00:00"/>
    <x v="0"/>
    <x v="2"/>
    <x v="1"/>
    <x v="1"/>
    <x v="0"/>
    <x v="0"/>
    <x v="0"/>
    <x v="0"/>
    <x v="0"/>
    <n v="0"/>
    <x v="0"/>
    <x v="0"/>
    <m/>
    <n v="63.3"/>
  </r>
  <r>
    <s v="USR-100334"/>
    <d v="2025-01-10T00:00:00"/>
    <x v="0"/>
    <x v="1"/>
    <x v="2"/>
    <x v="4"/>
    <x v="1"/>
    <x v="1"/>
    <x v="0"/>
    <x v="0"/>
    <x v="0"/>
    <n v="0"/>
    <x v="0"/>
    <x v="0"/>
    <m/>
    <n v="30.8"/>
  </r>
  <r>
    <s v="USR-100335"/>
    <d v="2025-01-16T00:00:00"/>
    <x v="0"/>
    <x v="3"/>
    <x v="1"/>
    <x v="0"/>
    <x v="0"/>
    <x v="1"/>
    <x v="1"/>
    <x v="1"/>
    <x v="1"/>
    <n v="874.55"/>
    <x v="0"/>
    <x v="0"/>
    <n v="9"/>
    <n v="44.2"/>
  </r>
  <r>
    <s v="USR-100336"/>
    <d v="2025-02-11T00:00:00"/>
    <x v="0"/>
    <x v="3"/>
    <x v="0"/>
    <x v="1"/>
    <x v="2"/>
    <x v="1"/>
    <x v="1"/>
    <x v="1"/>
    <x v="1"/>
    <n v="2206.88"/>
    <x v="0"/>
    <x v="0"/>
    <n v="10"/>
    <n v="56.2"/>
  </r>
  <r>
    <s v="USR-100337"/>
    <d v="2025-04-13T00:00:00"/>
    <x v="0"/>
    <x v="1"/>
    <x v="1"/>
    <x v="1"/>
    <x v="1"/>
    <x v="0"/>
    <x v="0"/>
    <x v="0"/>
    <x v="0"/>
    <n v="0"/>
    <x v="0"/>
    <x v="0"/>
    <m/>
    <n v="40.4"/>
  </r>
  <r>
    <s v="USR-100338"/>
    <d v="2025-02-08T00:00:00"/>
    <x v="0"/>
    <x v="2"/>
    <x v="1"/>
    <x v="2"/>
    <x v="1"/>
    <x v="1"/>
    <x v="1"/>
    <x v="1"/>
    <x v="0"/>
    <n v="0"/>
    <x v="0"/>
    <x v="0"/>
    <m/>
    <n v="68.099999999999994"/>
  </r>
  <r>
    <s v="USR-100339"/>
    <d v="2025-03-31T00:00:00"/>
    <x v="0"/>
    <x v="1"/>
    <x v="0"/>
    <x v="3"/>
    <x v="1"/>
    <x v="1"/>
    <x v="0"/>
    <x v="0"/>
    <x v="0"/>
    <n v="0"/>
    <x v="0"/>
    <x v="0"/>
    <m/>
    <n v="86.3"/>
  </r>
  <r>
    <s v="USR-100340"/>
    <d v="2025-01-31T00:00:00"/>
    <x v="0"/>
    <x v="1"/>
    <x v="0"/>
    <x v="3"/>
    <x v="1"/>
    <x v="1"/>
    <x v="1"/>
    <x v="0"/>
    <x v="0"/>
    <n v="0"/>
    <x v="0"/>
    <x v="0"/>
    <m/>
    <n v="42.9"/>
  </r>
  <r>
    <s v="USR-100341"/>
    <d v="2025-05-08T00:00:00"/>
    <x v="0"/>
    <x v="1"/>
    <x v="2"/>
    <x v="1"/>
    <x v="1"/>
    <x v="0"/>
    <x v="0"/>
    <x v="0"/>
    <x v="0"/>
    <n v="0"/>
    <x v="0"/>
    <x v="0"/>
    <m/>
    <n v="61.4"/>
  </r>
  <r>
    <s v="USR-100342"/>
    <d v="2025-03-15T00:00:00"/>
    <x v="0"/>
    <x v="0"/>
    <x v="1"/>
    <x v="2"/>
    <x v="1"/>
    <x v="1"/>
    <x v="0"/>
    <x v="0"/>
    <x v="0"/>
    <n v="0"/>
    <x v="1"/>
    <x v="0"/>
    <m/>
    <n v="73.3"/>
  </r>
  <r>
    <s v="USR-100343"/>
    <d v="2025-01-13T00:00:00"/>
    <x v="0"/>
    <x v="3"/>
    <x v="1"/>
    <x v="3"/>
    <x v="0"/>
    <x v="1"/>
    <x v="0"/>
    <x v="0"/>
    <x v="0"/>
    <n v="0"/>
    <x v="0"/>
    <x v="0"/>
    <m/>
    <n v="59.4"/>
  </r>
  <r>
    <s v="USR-100344"/>
    <d v="2025-03-07T00:00:00"/>
    <x v="0"/>
    <x v="3"/>
    <x v="2"/>
    <x v="1"/>
    <x v="0"/>
    <x v="1"/>
    <x v="0"/>
    <x v="0"/>
    <x v="0"/>
    <n v="0"/>
    <x v="0"/>
    <x v="0"/>
    <m/>
    <n v="35.200000000000003"/>
  </r>
  <r>
    <s v="USR-100345"/>
    <d v="2025-02-10T00:00:00"/>
    <x v="0"/>
    <x v="3"/>
    <x v="1"/>
    <x v="4"/>
    <x v="2"/>
    <x v="1"/>
    <x v="1"/>
    <x v="0"/>
    <x v="0"/>
    <n v="0"/>
    <x v="0"/>
    <x v="0"/>
    <m/>
    <n v="55.3"/>
  </r>
  <r>
    <s v="USR-100346"/>
    <d v="2025-03-12T00:00:00"/>
    <x v="0"/>
    <x v="2"/>
    <x v="1"/>
    <x v="2"/>
    <x v="1"/>
    <x v="0"/>
    <x v="0"/>
    <x v="0"/>
    <x v="0"/>
    <n v="0"/>
    <x v="0"/>
    <x v="0"/>
    <m/>
    <n v="37.5"/>
  </r>
  <r>
    <s v="USR-100347"/>
    <d v="2025-01-03T00:00:00"/>
    <x v="0"/>
    <x v="3"/>
    <x v="0"/>
    <x v="2"/>
    <x v="1"/>
    <x v="0"/>
    <x v="0"/>
    <x v="0"/>
    <x v="0"/>
    <n v="0"/>
    <x v="1"/>
    <x v="0"/>
    <m/>
    <n v="66.400000000000006"/>
  </r>
  <r>
    <s v="USR-100348"/>
    <d v="2025-04-28T00:00:00"/>
    <x v="0"/>
    <x v="0"/>
    <x v="2"/>
    <x v="4"/>
    <x v="0"/>
    <x v="1"/>
    <x v="0"/>
    <x v="0"/>
    <x v="0"/>
    <n v="0"/>
    <x v="0"/>
    <x v="0"/>
    <m/>
    <n v="61.9"/>
  </r>
  <r>
    <s v="USR-100349"/>
    <d v="2025-04-17T00:00:00"/>
    <x v="0"/>
    <x v="2"/>
    <x v="1"/>
    <x v="1"/>
    <x v="1"/>
    <x v="0"/>
    <x v="0"/>
    <x v="0"/>
    <x v="0"/>
    <n v="0"/>
    <x v="0"/>
    <x v="0"/>
    <m/>
    <n v="56"/>
  </r>
  <r>
    <s v="USR-100350"/>
    <d v="2025-05-23T00:00:00"/>
    <x v="0"/>
    <x v="3"/>
    <x v="0"/>
    <x v="4"/>
    <x v="0"/>
    <x v="1"/>
    <x v="0"/>
    <x v="0"/>
    <x v="0"/>
    <n v="0"/>
    <x v="0"/>
    <x v="0"/>
    <m/>
    <n v="55.5"/>
  </r>
  <r>
    <s v="USR-100351"/>
    <d v="2025-02-19T00:00:00"/>
    <x v="0"/>
    <x v="1"/>
    <x v="2"/>
    <x v="3"/>
    <x v="0"/>
    <x v="1"/>
    <x v="0"/>
    <x v="0"/>
    <x v="0"/>
    <n v="0"/>
    <x v="0"/>
    <x v="0"/>
    <m/>
    <n v="37.200000000000003"/>
  </r>
  <r>
    <s v="USR-100352"/>
    <d v="2025-01-18T00:00:00"/>
    <x v="0"/>
    <x v="3"/>
    <x v="0"/>
    <x v="1"/>
    <x v="1"/>
    <x v="1"/>
    <x v="1"/>
    <x v="0"/>
    <x v="0"/>
    <n v="0"/>
    <x v="1"/>
    <x v="0"/>
    <m/>
    <n v="70.5"/>
  </r>
  <r>
    <s v="USR-100353"/>
    <d v="2025-04-17T00:00:00"/>
    <x v="0"/>
    <x v="0"/>
    <x v="1"/>
    <x v="1"/>
    <x v="1"/>
    <x v="0"/>
    <x v="0"/>
    <x v="0"/>
    <x v="0"/>
    <n v="0"/>
    <x v="0"/>
    <x v="0"/>
    <m/>
    <n v="61.2"/>
  </r>
  <r>
    <s v="USR-100354"/>
    <d v="2025-04-12T00:00:00"/>
    <x v="0"/>
    <x v="2"/>
    <x v="2"/>
    <x v="4"/>
    <x v="1"/>
    <x v="1"/>
    <x v="1"/>
    <x v="1"/>
    <x v="0"/>
    <n v="0"/>
    <x v="0"/>
    <x v="0"/>
    <m/>
    <n v="64.599999999999994"/>
  </r>
  <r>
    <s v="USR-100355"/>
    <d v="2025-05-16T00:00:00"/>
    <x v="0"/>
    <x v="2"/>
    <x v="1"/>
    <x v="0"/>
    <x v="1"/>
    <x v="1"/>
    <x v="1"/>
    <x v="0"/>
    <x v="0"/>
    <n v="0"/>
    <x v="0"/>
    <x v="0"/>
    <m/>
    <n v="91.7"/>
  </r>
  <r>
    <s v="USR-100356"/>
    <d v="2025-03-24T00:00:00"/>
    <x v="0"/>
    <x v="1"/>
    <x v="1"/>
    <x v="4"/>
    <x v="1"/>
    <x v="0"/>
    <x v="0"/>
    <x v="0"/>
    <x v="0"/>
    <n v="0"/>
    <x v="0"/>
    <x v="0"/>
    <m/>
    <n v="46"/>
  </r>
  <r>
    <s v="USR-100357"/>
    <d v="2025-02-16T00:00:00"/>
    <x v="0"/>
    <x v="1"/>
    <x v="1"/>
    <x v="1"/>
    <x v="0"/>
    <x v="0"/>
    <x v="0"/>
    <x v="0"/>
    <x v="0"/>
    <n v="0"/>
    <x v="0"/>
    <x v="0"/>
    <m/>
    <n v="50.8"/>
  </r>
  <r>
    <s v="USR-100358"/>
    <d v="2025-03-19T00:00:00"/>
    <x v="0"/>
    <x v="0"/>
    <x v="2"/>
    <x v="1"/>
    <x v="1"/>
    <x v="1"/>
    <x v="1"/>
    <x v="1"/>
    <x v="0"/>
    <n v="0"/>
    <x v="0"/>
    <x v="0"/>
    <m/>
    <n v="52.8"/>
  </r>
  <r>
    <s v="USR-100359"/>
    <d v="2025-04-21T00:00:00"/>
    <x v="0"/>
    <x v="3"/>
    <x v="1"/>
    <x v="1"/>
    <x v="0"/>
    <x v="1"/>
    <x v="1"/>
    <x v="1"/>
    <x v="0"/>
    <n v="0"/>
    <x v="0"/>
    <x v="0"/>
    <m/>
    <n v="63"/>
  </r>
  <r>
    <s v="USR-100360"/>
    <d v="2025-01-11T00:00:00"/>
    <x v="0"/>
    <x v="1"/>
    <x v="1"/>
    <x v="1"/>
    <x v="1"/>
    <x v="0"/>
    <x v="0"/>
    <x v="0"/>
    <x v="0"/>
    <n v="0"/>
    <x v="0"/>
    <x v="0"/>
    <m/>
    <n v="28.4"/>
  </r>
  <r>
    <s v="USR-100361"/>
    <d v="2025-04-24T00:00:00"/>
    <x v="0"/>
    <x v="1"/>
    <x v="0"/>
    <x v="1"/>
    <x v="1"/>
    <x v="1"/>
    <x v="1"/>
    <x v="0"/>
    <x v="0"/>
    <n v="0"/>
    <x v="0"/>
    <x v="0"/>
    <m/>
    <n v="65.599999999999994"/>
  </r>
  <r>
    <s v="USR-100362"/>
    <d v="2025-03-13T00:00:00"/>
    <x v="0"/>
    <x v="0"/>
    <x v="1"/>
    <x v="4"/>
    <x v="2"/>
    <x v="1"/>
    <x v="1"/>
    <x v="1"/>
    <x v="0"/>
    <n v="0"/>
    <x v="0"/>
    <x v="0"/>
    <m/>
    <n v="54.7"/>
  </r>
  <r>
    <s v="USR-100363"/>
    <d v="2025-01-30T00:00:00"/>
    <x v="0"/>
    <x v="0"/>
    <x v="1"/>
    <x v="4"/>
    <x v="0"/>
    <x v="0"/>
    <x v="0"/>
    <x v="0"/>
    <x v="0"/>
    <n v="0"/>
    <x v="0"/>
    <x v="0"/>
    <m/>
    <n v="36.1"/>
  </r>
  <r>
    <s v="USR-100364"/>
    <d v="2025-05-08T00:00:00"/>
    <x v="0"/>
    <x v="3"/>
    <x v="1"/>
    <x v="4"/>
    <x v="0"/>
    <x v="1"/>
    <x v="1"/>
    <x v="1"/>
    <x v="0"/>
    <n v="0"/>
    <x v="0"/>
    <x v="0"/>
    <m/>
    <n v="70.400000000000006"/>
  </r>
  <r>
    <s v="USR-100365"/>
    <d v="2025-01-08T00:00:00"/>
    <x v="0"/>
    <x v="2"/>
    <x v="0"/>
    <x v="4"/>
    <x v="1"/>
    <x v="1"/>
    <x v="0"/>
    <x v="0"/>
    <x v="0"/>
    <n v="0"/>
    <x v="0"/>
    <x v="0"/>
    <m/>
    <n v="56.4"/>
  </r>
  <r>
    <s v="USR-100366"/>
    <d v="2025-05-03T00:00:00"/>
    <x v="0"/>
    <x v="3"/>
    <x v="1"/>
    <x v="1"/>
    <x v="1"/>
    <x v="1"/>
    <x v="0"/>
    <x v="0"/>
    <x v="0"/>
    <n v="0"/>
    <x v="0"/>
    <x v="0"/>
    <m/>
    <n v="79.2"/>
  </r>
  <r>
    <s v="USR-100367"/>
    <d v="2025-02-12T00:00:00"/>
    <x v="0"/>
    <x v="2"/>
    <x v="1"/>
    <x v="2"/>
    <x v="1"/>
    <x v="1"/>
    <x v="1"/>
    <x v="1"/>
    <x v="0"/>
    <n v="0"/>
    <x v="0"/>
    <x v="0"/>
    <m/>
    <n v="60.1"/>
  </r>
  <r>
    <s v="USR-100368"/>
    <d v="2025-02-25T00:00:00"/>
    <x v="0"/>
    <x v="3"/>
    <x v="2"/>
    <x v="1"/>
    <x v="1"/>
    <x v="0"/>
    <x v="0"/>
    <x v="0"/>
    <x v="0"/>
    <n v="0"/>
    <x v="0"/>
    <x v="0"/>
    <m/>
    <n v="58"/>
  </r>
  <r>
    <s v="USR-100369"/>
    <d v="2025-04-14T00:00:00"/>
    <x v="0"/>
    <x v="3"/>
    <x v="1"/>
    <x v="3"/>
    <x v="1"/>
    <x v="1"/>
    <x v="1"/>
    <x v="1"/>
    <x v="0"/>
    <n v="0"/>
    <x v="0"/>
    <x v="0"/>
    <m/>
    <n v="69"/>
  </r>
  <r>
    <s v="USR-100370"/>
    <d v="2025-01-08T00:00:00"/>
    <x v="0"/>
    <x v="0"/>
    <x v="1"/>
    <x v="3"/>
    <x v="2"/>
    <x v="1"/>
    <x v="1"/>
    <x v="1"/>
    <x v="0"/>
    <n v="0"/>
    <x v="1"/>
    <x v="0"/>
    <m/>
    <n v="80.8"/>
  </r>
  <r>
    <s v="USR-100371"/>
    <d v="2025-03-14T00:00:00"/>
    <x v="0"/>
    <x v="2"/>
    <x v="1"/>
    <x v="0"/>
    <x v="1"/>
    <x v="0"/>
    <x v="0"/>
    <x v="0"/>
    <x v="0"/>
    <n v="0"/>
    <x v="0"/>
    <x v="0"/>
    <m/>
    <n v="32.799999999999997"/>
  </r>
  <r>
    <s v="USR-100372"/>
    <d v="2025-04-29T00:00:00"/>
    <x v="0"/>
    <x v="0"/>
    <x v="0"/>
    <x v="2"/>
    <x v="2"/>
    <x v="1"/>
    <x v="0"/>
    <x v="0"/>
    <x v="0"/>
    <n v="0"/>
    <x v="0"/>
    <x v="0"/>
    <m/>
    <n v="56"/>
  </r>
  <r>
    <s v="USR-100373"/>
    <d v="2025-05-01T00:00:00"/>
    <x v="0"/>
    <x v="2"/>
    <x v="0"/>
    <x v="4"/>
    <x v="1"/>
    <x v="1"/>
    <x v="0"/>
    <x v="0"/>
    <x v="0"/>
    <n v="0"/>
    <x v="0"/>
    <x v="0"/>
    <m/>
    <n v="76.400000000000006"/>
  </r>
  <r>
    <s v="USR-100374"/>
    <d v="2025-03-19T00:00:00"/>
    <x v="0"/>
    <x v="0"/>
    <x v="1"/>
    <x v="3"/>
    <x v="1"/>
    <x v="1"/>
    <x v="0"/>
    <x v="0"/>
    <x v="0"/>
    <n v="0"/>
    <x v="0"/>
    <x v="0"/>
    <m/>
    <n v="28.5"/>
  </r>
  <r>
    <s v="USR-100375"/>
    <d v="2025-05-01T00:00:00"/>
    <x v="0"/>
    <x v="3"/>
    <x v="0"/>
    <x v="4"/>
    <x v="0"/>
    <x v="1"/>
    <x v="1"/>
    <x v="1"/>
    <x v="0"/>
    <n v="0"/>
    <x v="0"/>
    <x v="0"/>
    <m/>
    <n v="48.3"/>
  </r>
  <r>
    <s v="USR-100376"/>
    <d v="2025-03-14T00:00:00"/>
    <x v="0"/>
    <x v="1"/>
    <x v="1"/>
    <x v="1"/>
    <x v="1"/>
    <x v="1"/>
    <x v="1"/>
    <x v="0"/>
    <x v="0"/>
    <n v="0"/>
    <x v="0"/>
    <x v="0"/>
    <m/>
    <n v="43.4"/>
  </r>
  <r>
    <s v="USR-100377"/>
    <d v="2025-03-23T00:00:00"/>
    <x v="0"/>
    <x v="0"/>
    <x v="1"/>
    <x v="2"/>
    <x v="1"/>
    <x v="0"/>
    <x v="0"/>
    <x v="0"/>
    <x v="0"/>
    <n v="0"/>
    <x v="0"/>
    <x v="0"/>
    <m/>
    <n v="43"/>
  </r>
  <r>
    <s v="USR-100378"/>
    <d v="2025-02-08T00:00:00"/>
    <x v="0"/>
    <x v="2"/>
    <x v="1"/>
    <x v="3"/>
    <x v="0"/>
    <x v="1"/>
    <x v="1"/>
    <x v="1"/>
    <x v="0"/>
    <n v="0"/>
    <x v="0"/>
    <x v="0"/>
    <m/>
    <n v="91.8"/>
  </r>
  <r>
    <s v="USR-100379"/>
    <d v="2025-04-15T00:00:00"/>
    <x v="0"/>
    <x v="1"/>
    <x v="2"/>
    <x v="2"/>
    <x v="0"/>
    <x v="1"/>
    <x v="0"/>
    <x v="0"/>
    <x v="0"/>
    <n v="0"/>
    <x v="1"/>
    <x v="0"/>
    <m/>
    <n v="69.3"/>
  </r>
  <r>
    <s v="USR-100380"/>
    <d v="2025-01-03T00:00:00"/>
    <x v="0"/>
    <x v="3"/>
    <x v="0"/>
    <x v="2"/>
    <x v="0"/>
    <x v="1"/>
    <x v="0"/>
    <x v="0"/>
    <x v="0"/>
    <n v="0"/>
    <x v="0"/>
    <x v="0"/>
    <m/>
    <n v="58.9"/>
  </r>
  <r>
    <s v="USR-100381"/>
    <d v="2025-03-23T00:00:00"/>
    <x v="0"/>
    <x v="1"/>
    <x v="1"/>
    <x v="4"/>
    <x v="1"/>
    <x v="1"/>
    <x v="1"/>
    <x v="1"/>
    <x v="0"/>
    <n v="0"/>
    <x v="0"/>
    <x v="0"/>
    <m/>
    <n v="76"/>
  </r>
  <r>
    <s v="USR-100382"/>
    <d v="2025-05-27T00:00:00"/>
    <x v="0"/>
    <x v="3"/>
    <x v="1"/>
    <x v="3"/>
    <x v="2"/>
    <x v="1"/>
    <x v="0"/>
    <x v="0"/>
    <x v="0"/>
    <n v="0"/>
    <x v="0"/>
    <x v="0"/>
    <m/>
    <n v="46"/>
  </r>
  <r>
    <s v="USR-100383"/>
    <d v="2025-04-30T00:00:00"/>
    <x v="0"/>
    <x v="2"/>
    <x v="1"/>
    <x v="1"/>
    <x v="1"/>
    <x v="1"/>
    <x v="0"/>
    <x v="0"/>
    <x v="0"/>
    <n v="0"/>
    <x v="0"/>
    <x v="0"/>
    <m/>
    <n v="54.1"/>
  </r>
  <r>
    <s v="USR-100384"/>
    <d v="2025-03-07T00:00:00"/>
    <x v="0"/>
    <x v="1"/>
    <x v="1"/>
    <x v="4"/>
    <x v="0"/>
    <x v="1"/>
    <x v="0"/>
    <x v="0"/>
    <x v="0"/>
    <n v="0"/>
    <x v="0"/>
    <x v="0"/>
    <m/>
    <n v="82.4"/>
  </r>
  <r>
    <s v="USR-100385"/>
    <d v="2025-05-10T00:00:00"/>
    <x v="0"/>
    <x v="3"/>
    <x v="1"/>
    <x v="1"/>
    <x v="0"/>
    <x v="1"/>
    <x v="1"/>
    <x v="1"/>
    <x v="0"/>
    <n v="0"/>
    <x v="0"/>
    <x v="0"/>
    <m/>
    <n v="71.900000000000006"/>
  </r>
  <r>
    <s v="USR-100386"/>
    <d v="2025-05-22T00:00:00"/>
    <x v="0"/>
    <x v="2"/>
    <x v="1"/>
    <x v="1"/>
    <x v="1"/>
    <x v="0"/>
    <x v="0"/>
    <x v="0"/>
    <x v="0"/>
    <n v="0"/>
    <x v="2"/>
    <x v="0"/>
    <m/>
    <n v="38"/>
  </r>
  <r>
    <s v="USR-100387"/>
    <d v="2025-02-09T00:00:00"/>
    <x v="0"/>
    <x v="2"/>
    <x v="1"/>
    <x v="2"/>
    <x v="1"/>
    <x v="1"/>
    <x v="1"/>
    <x v="0"/>
    <x v="0"/>
    <n v="0"/>
    <x v="0"/>
    <x v="0"/>
    <m/>
    <n v="43.7"/>
  </r>
  <r>
    <s v="USR-100388"/>
    <d v="2025-05-30T00:00:00"/>
    <x v="0"/>
    <x v="1"/>
    <x v="0"/>
    <x v="1"/>
    <x v="2"/>
    <x v="1"/>
    <x v="0"/>
    <x v="0"/>
    <x v="0"/>
    <n v="0"/>
    <x v="1"/>
    <x v="0"/>
    <m/>
    <n v="32.200000000000003"/>
  </r>
  <r>
    <s v="USR-100389"/>
    <d v="2025-05-01T00:00:00"/>
    <x v="0"/>
    <x v="3"/>
    <x v="1"/>
    <x v="1"/>
    <x v="2"/>
    <x v="1"/>
    <x v="0"/>
    <x v="0"/>
    <x v="0"/>
    <n v="0"/>
    <x v="0"/>
    <x v="0"/>
    <m/>
    <n v="61"/>
  </r>
  <r>
    <s v="USR-100390"/>
    <d v="2025-01-03T00:00:00"/>
    <x v="0"/>
    <x v="3"/>
    <x v="1"/>
    <x v="2"/>
    <x v="1"/>
    <x v="1"/>
    <x v="0"/>
    <x v="0"/>
    <x v="0"/>
    <n v="0"/>
    <x v="0"/>
    <x v="0"/>
    <m/>
    <n v="49"/>
  </r>
  <r>
    <s v="USR-100391"/>
    <d v="2025-02-13T00:00:00"/>
    <x v="0"/>
    <x v="2"/>
    <x v="1"/>
    <x v="1"/>
    <x v="1"/>
    <x v="0"/>
    <x v="0"/>
    <x v="0"/>
    <x v="0"/>
    <n v="0"/>
    <x v="0"/>
    <x v="0"/>
    <m/>
    <n v="48.1"/>
  </r>
  <r>
    <s v="USR-100392"/>
    <d v="2025-01-14T00:00:00"/>
    <x v="0"/>
    <x v="3"/>
    <x v="0"/>
    <x v="1"/>
    <x v="1"/>
    <x v="0"/>
    <x v="0"/>
    <x v="0"/>
    <x v="0"/>
    <n v="0"/>
    <x v="2"/>
    <x v="0"/>
    <m/>
    <n v="46.3"/>
  </r>
  <r>
    <s v="USR-100393"/>
    <d v="2025-02-24T00:00:00"/>
    <x v="0"/>
    <x v="0"/>
    <x v="1"/>
    <x v="3"/>
    <x v="1"/>
    <x v="0"/>
    <x v="0"/>
    <x v="0"/>
    <x v="0"/>
    <n v="0"/>
    <x v="0"/>
    <x v="0"/>
    <m/>
    <n v="64"/>
  </r>
  <r>
    <s v="USR-100394"/>
    <d v="2025-05-16T00:00:00"/>
    <x v="0"/>
    <x v="1"/>
    <x v="0"/>
    <x v="1"/>
    <x v="0"/>
    <x v="1"/>
    <x v="1"/>
    <x v="0"/>
    <x v="0"/>
    <n v="0"/>
    <x v="0"/>
    <x v="0"/>
    <m/>
    <n v="56.2"/>
  </r>
  <r>
    <s v="USR-100395"/>
    <d v="2025-04-29T00:00:00"/>
    <x v="0"/>
    <x v="0"/>
    <x v="1"/>
    <x v="2"/>
    <x v="1"/>
    <x v="1"/>
    <x v="1"/>
    <x v="1"/>
    <x v="0"/>
    <n v="0"/>
    <x v="0"/>
    <x v="0"/>
    <m/>
    <n v="77.5"/>
  </r>
  <r>
    <s v="USR-100396"/>
    <d v="2025-04-30T00:00:00"/>
    <x v="0"/>
    <x v="3"/>
    <x v="0"/>
    <x v="0"/>
    <x v="0"/>
    <x v="1"/>
    <x v="0"/>
    <x v="0"/>
    <x v="0"/>
    <n v="0"/>
    <x v="0"/>
    <x v="0"/>
    <m/>
    <n v="59.9"/>
  </r>
  <r>
    <s v="USR-100397"/>
    <d v="2025-01-09T00:00:00"/>
    <x v="0"/>
    <x v="3"/>
    <x v="0"/>
    <x v="1"/>
    <x v="1"/>
    <x v="1"/>
    <x v="1"/>
    <x v="0"/>
    <x v="0"/>
    <n v="0"/>
    <x v="0"/>
    <x v="0"/>
    <m/>
    <n v="63"/>
  </r>
  <r>
    <s v="USR-100398"/>
    <d v="2025-04-25T00:00:00"/>
    <x v="0"/>
    <x v="3"/>
    <x v="1"/>
    <x v="1"/>
    <x v="1"/>
    <x v="1"/>
    <x v="1"/>
    <x v="0"/>
    <x v="0"/>
    <n v="0"/>
    <x v="0"/>
    <x v="0"/>
    <m/>
    <n v="76.5"/>
  </r>
  <r>
    <s v="USR-100399"/>
    <d v="2025-03-12T00:00:00"/>
    <x v="0"/>
    <x v="0"/>
    <x v="0"/>
    <x v="2"/>
    <x v="1"/>
    <x v="1"/>
    <x v="0"/>
    <x v="0"/>
    <x v="0"/>
    <n v="0"/>
    <x v="0"/>
    <x v="0"/>
    <m/>
    <n v="39.700000000000003"/>
  </r>
  <r>
    <s v="USR-100400"/>
    <d v="2025-03-20T00:00:00"/>
    <x v="0"/>
    <x v="0"/>
    <x v="1"/>
    <x v="1"/>
    <x v="1"/>
    <x v="1"/>
    <x v="1"/>
    <x v="0"/>
    <x v="0"/>
    <n v="0"/>
    <x v="0"/>
    <x v="0"/>
    <m/>
    <n v="80.2"/>
  </r>
  <r>
    <s v="USR-100401"/>
    <d v="2025-02-18T00:00:00"/>
    <x v="0"/>
    <x v="1"/>
    <x v="1"/>
    <x v="2"/>
    <x v="1"/>
    <x v="1"/>
    <x v="0"/>
    <x v="0"/>
    <x v="0"/>
    <n v="0"/>
    <x v="0"/>
    <x v="0"/>
    <m/>
    <n v="72.2"/>
  </r>
  <r>
    <s v="USR-100402"/>
    <d v="2025-01-22T00:00:00"/>
    <x v="0"/>
    <x v="0"/>
    <x v="1"/>
    <x v="4"/>
    <x v="0"/>
    <x v="0"/>
    <x v="0"/>
    <x v="0"/>
    <x v="0"/>
    <n v="0"/>
    <x v="0"/>
    <x v="0"/>
    <m/>
    <n v="56"/>
  </r>
  <r>
    <s v="USR-100403"/>
    <d v="2025-02-08T00:00:00"/>
    <x v="0"/>
    <x v="1"/>
    <x v="1"/>
    <x v="0"/>
    <x v="0"/>
    <x v="1"/>
    <x v="1"/>
    <x v="1"/>
    <x v="0"/>
    <n v="0"/>
    <x v="0"/>
    <x v="0"/>
    <m/>
    <n v="69.099999999999994"/>
  </r>
  <r>
    <s v="USR-100404"/>
    <d v="2025-01-20T00:00:00"/>
    <x v="0"/>
    <x v="0"/>
    <x v="1"/>
    <x v="0"/>
    <x v="2"/>
    <x v="0"/>
    <x v="0"/>
    <x v="0"/>
    <x v="0"/>
    <n v="0"/>
    <x v="1"/>
    <x v="0"/>
    <m/>
    <n v="70.599999999999994"/>
  </r>
  <r>
    <s v="USR-100405"/>
    <d v="2025-04-22T00:00:00"/>
    <x v="0"/>
    <x v="1"/>
    <x v="0"/>
    <x v="3"/>
    <x v="1"/>
    <x v="1"/>
    <x v="0"/>
    <x v="0"/>
    <x v="0"/>
    <n v="0"/>
    <x v="0"/>
    <x v="0"/>
    <m/>
    <n v="57.9"/>
  </r>
  <r>
    <s v="USR-100406"/>
    <d v="2025-01-22T00:00:00"/>
    <x v="0"/>
    <x v="2"/>
    <x v="1"/>
    <x v="1"/>
    <x v="0"/>
    <x v="1"/>
    <x v="1"/>
    <x v="0"/>
    <x v="0"/>
    <n v="0"/>
    <x v="0"/>
    <x v="0"/>
    <m/>
    <n v="41.4"/>
  </r>
  <r>
    <s v="USR-100407"/>
    <d v="2025-05-11T00:00:00"/>
    <x v="0"/>
    <x v="1"/>
    <x v="1"/>
    <x v="1"/>
    <x v="0"/>
    <x v="1"/>
    <x v="0"/>
    <x v="0"/>
    <x v="0"/>
    <n v="0"/>
    <x v="0"/>
    <x v="0"/>
    <m/>
    <n v="60.9"/>
  </r>
  <r>
    <s v="USR-100408"/>
    <d v="2025-02-06T00:00:00"/>
    <x v="0"/>
    <x v="3"/>
    <x v="1"/>
    <x v="1"/>
    <x v="0"/>
    <x v="0"/>
    <x v="0"/>
    <x v="0"/>
    <x v="0"/>
    <n v="0"/>
    <x v="1"/>
    <x v="0"/>
    <m/>
    <n v="63.8"/>
  </r>
  <r>
    <s v="USR-100409"/>
    <d v="2025-02-21T00:00:00"/>
    <x v="0"/>
    <x v="0"/>
    <x v="0"/>
    <x v="1"/>
    <x v="2"/>
    <x v="1"/>
    <x v="0"/>
    <x v="0"/>
    <x v="0"/>
    <n v="0"/>
    <x v="0"/>
    <x v="0"/>
    <m/>
    <n v="79.2"/>
  </r>
  <r>
    <s v="USR-100410"/>
    <d v="2025-01-13T00:00:00"/>
    <x v="0"/>
    <x v="1"/>
    <x v="1"/>
    <x v="0"/>
    <x v="2"/>
    <x v="1"/>
    <x v="1"/>
    <x v="1"/>
    <x v="0"/>
    <n v="0"/>
    <x v="0"/>
    <x v="0"/>
    <m/>
    <n v="53.3"/>
  </r>
  <r>
    <s v="USR-100411"/>
    <d v="2025-03-07T00:00:00"/>
    <x v="0"/>
    <x v="0"/>
    <x v="1"/>
    <x v="3"/>
    <x v="2"/>
    <x v="1"/>
    <x v="1"/>
    <x v="1"/>
    <x v="1"/>
    <n v="2144.8200000000002"/>
    <x v="0"/>
    <x v="0"/>
    <n v="6"/>
    <n v="52.3"/>
  </r>
  <r>
    <s v="USR-100412"/>
    <d v="2025-02-26T00:00:00"/>
    <x v="0"/>
    <x v="1"/>
    <x v="0"/>
    <x v="1"/>
    <x v="0"/>
    <x v="1"/>
    <x v="1"/>
    <x v="0"/>
    <x v="0"/>
    <n v="0"/>
    <x v="0"/>
    <x v="0"/>
    <m/>
    <n v="62.4"/>
  </r>
  <r>
    <s v="USR-100413"/>
    <d v="2025-05-05T00:00:00"/>
    <x v="0"/>
    <x v="0"/>
    <x v="1"/>
    <x v="3"/>
    <x v="2"/>
    <x v="1"/>
    <x v="0"/>
    <x v="0"/>
    <x v="0"/>
    <n v="0"/>
    <x v="0"/>
    <x v="0"/>
    <m/>
    <n v="45.5"/>
  </r>
  <r>
    <s v="USR-100414"/>
    <d v="2025-01-08T00:00:00"/>
    <x v="0"/>
    <x v="2"/>
    <x v="0"/>
    <x v="1"/>
    <x v="0"/>
    <x v="0"/>
    <x v="0"/>
    <x v="0"/>
    <x v="0"/>
    <n v="0"/>
    <x v="1"/>
    <x v="0"/>
    <m/>
    <n v="72.599999999999994"/>
  </r>
  <r>
    <s v="USR-100415"/>
    <d v="2025-03-19T00:00:00"/>
    <x v="0"/>
    <x v="3"/>
    <x v="1"/>
    <x v="0"/>
    <x v="2"/>
    <x v="1"/>
    <x v="1"/>
    <x v="1"/>
    <x v="0"/>
    <n v="0"/>
    <x v="0"/>
    <x v="0"/>
    <m/>
    <n v="50.1"/>
  </r>
  <r>
    <s v="USR-100416"/>
    <d v="2025-01-30T00:00:00"/>
    <x v="0"/>
    <x v="2"/>
    <x v="0"/>
    <x v="2"/>
    <x v="1"/>
    <x v="1"/>
    <x v="1"/>
    <x v="1"/>
    <x v="0"/>
    <n v="0"/>
    <x v="2"/>
    <x v="0"/>
    <m/>
    <n v="58.1"/>
  </r>
  <r>
    <s v="USR-100417"/>
    <d v="2025-04-28T00:00:00"/>
    <x v="0"/>
    <x v="2"/>
    <x v="1"/>
    <x v="1"/>
    <x v="0"/>
    <x v="1"/>
    <x v="0"/>
    <x v="0"/>
    <x v="0"/>
    <n v="0"/>
    <x v="0"/>
    <x v="0"/>
    <m/>
    <n v="42.9"/>
  </r>
  <r>
    <s v="USR-100418"/>
    <d v="2025-03-07T00:00:00"/>
    <x v="0"/>
    <x v="0"/>
    <x v="1"/>
    <x v="3"/>
    <x v="0"/>
    <x v="0"/>
    <x v="0"/>
    <x v="0"/>
    <x v="0"/>
    <n v="0"/>
    <x v="0"/>
    <x v="0"/>
    <m/>
    <n v="69.7"/>
  </r>
  <r>
    <s v="USR-100419"/>
    <d v="2025-04-07T00:00:00"/>
    <x v="0"/>
    <x v="0"/>
    <x v="0"/>
    <x v="1"/>
    <x v="1"/>
    <x v="0"/>
    <x v="0"/>
    <x v="0"/>
    <x v="0"/>
    <n v="0"/>
    <x v="0"/>
    <x v="0"/>
    <m/>
    <n v="63.3"/>
  </r>
  <r>
    <s v="USR-100420"/>
    <d v="2025-05-08T00:00:00"/>
    <x v="0"/>
    <x v="0"/>
    <x v="0"/>
    <x v="1"/>
    <x v="2"/>
    <x v="1"/>
    <x v="0"/>
    <x v="0"/>
    <x v="0"/>
    <n v="0"/>
    <x v="0"/>
    <x v="0"/>
    <m/>
    <n v="71.2"/>
  </r>
  <r>
    <s v="USR-100421"/>
    <d v="2025-04-15T00:00:00"/>
    <x v="0"/>
    <x v="3"/>
    <x v="1"/>
    <x v="0"/>
    <x v="1"/>
    <x v="1"/>
    <x v="0"/>
    <x v="0"/>
    <x v="0"/>
    <n v="0"/>
    <x v="0"/>
    <x v="0"/>
    <m/>
    <n v="39.1"/>
  </r>
  <r>
    <s v="USR-100422"/>
    <d v="2025-04-20T00:00:00"/>
    <x v="0"/>
    <x v="2"/>
    <x v="0"/>
    <x v="4"/>
    <x v="1"/>
    <x v="1"/>
    <x v="0"/>
    <x v="0"/>
    <x v="0"/>
    <n v="0"/>
    <x v="0"/>
    <x v="0"/>
    <m/>
    <n v="42.6"/>
  </r>
  <r>
    <s v="USR-100423"/>
    <d v="2025-05-30T00:00:00"/>
    <x v="0"/>
    <x v="3"/>
    <x v="2"/>
    <x v="1"/>
    <x v="1"/>
    <x v="0"/>
    <x v="0"/>
    <x v="0"/>
    <x v="0"/>
    <n v="0"/>
    <x v="0"/>
    <x v="0"/>
    <m/>
    <n v="74.400000000000006"/>
  </r>
  <r>
    <s v="USR-100424"/>
    <d v="2025-02-13T00:00:00"/>
    <x v="0"/>
    <x v="1"/>
    <x v="1"/>
    <x v="3"/>
    <x v="1"/>
    <x v="0"/>
    <x v="0"/>
    <x v="0"/>
    <x v="0"/>
    <n v="0"/>
    <x v="0"/>
    <x v="0"/>
    <m/>
    <n v="55.6"/>
  </r>
  <r>
    <s v="USR-100425"/>
    <d v="2025-04-28T00:00:00"/>
    <x v="0"/>
    <x v="1"/>
    <x v="1"/>
    <x v="4"/>
    <x v="1"/>
    <x v="1"/>
    <x v="0"/>
    <x v="0"/>
    <x v="0"/>
    <n v="0"/>
    <x v="0"/>
    <x v="0"/>
    <m/>
    <n v="35.799999999999997"/>
  </r>
  <r>
    <s v="USR-100426"/>
    <d v="2025-02-12T00:00:00"/>
    <x v="0"/>
    <x v="0"/>
    <x v="1"/>
    <x v="2"/>
    <x v="0"/>
    <x v="1"/>
    <x v="0"/>
    <x v="0"/>
    <x v="0"/>
    <n v="0"/>
    <x v="1"/>
    <x v="0"/>
    <m/>
    <n v="28.2"/>
  </r>
  <r>
    <s v="USR-100427"/>
    <d v="2025-02-12T00:00:00"/>
    <x v="0"/>
    <x v="2"/>
    <x v="1"/>
    <x v="1"/>
    <x v="1"/>
    <x v="0"/>
    <x v="0"/>
    <x v="0"/>
    <x v="0"/>
    <n v="0"/>
    <x v="2"/>
    <x v="0"/>
    <m/>
    <n v="44.4"/>
  </r>
  <r>
    <s v="USR-100428"/>
    <d v="2025-03-27T00:00:00"/>
    <x v="0"/>
    <x v="0"/>
    <x v="1"/>
    <x v="0"/>
    <x v="2"/>
    <x v="1"/>
    <x v="0"/>
    <x v="0"/>
    <x v="0"/>
    <n v="0"/>
    <x v="0"/>
    <x v="0"/>
    <m/>
    <n v="49.9"/>
  </r>
  <r>
    <s v="USR-100429"/>
    <d v="2025-04-12T00:00:00"/>
    <x v="0"/>
    <x v="3"/>
    <x v="0"/>
    <x v="1"/>
    <x v="1"/>
    <x v="0"/>
    <x v="0"/>
    <x v="0"/>
    <x v="0"/>
    <n v="0"/>
    <x v="0"/>
    <x v="0"/>
    <m/>
    <n v="40.4"/>
  </r>
  <r>
    <s v="USR-100430"/>
    <d v="2025-01-30T00:00:00"/>
    <x v="0"/>
    <x v="1"/>
    <x v="1"/>
    <x v="4"/>
    <x v="1"/>
    <x v="0"/>
    <x v="0"/>
    <x v="0"/>
    <x v="0"/>
    <n v="0"/>
    <x v="0"/>
    <x v="0"/>
    <m/>
    <n v="60.4"/>
  </r>
  <r>
    <s v="USR-100431"/>
    <d v="2025-05-28T00:00:00"/>
    <x v="0"/>
    <x v="1"/>
    <x v="1"/>
    <x v="4"/>
    <x v="2"/>
    <x v="0"/>
    <x v="0"/>
    <x v="0"/>
    <x v="0"/>
    <n v="0"/>
    <x v="1"/>
    <x v="0"/>
    <m/>
    <n v="52.4"/>
  </r>
  <r>
    <s v="USR-100432"/>
    <d v="2025-05-01T00:00:00"/>
    <x v="0"/>
    <x v="3"/>
    <x v="1"/>
    <x v="1"/>
    <x v="0"/>
    <x v="1"/>
    <x v="1"/>
    <x v="0"/>
    <x v="0"/>
    <n v="0"/>
    <x v="0"/>
    <x v="0"/>
    <m/>
    <n v="48.8"/>
  </r>
  <r>
    <s v="USR-100096"/>
    <d v="2025-02-05T00:00:00"/>
    <x v="0"/>
    <x v="2"/>
    <x v="1"/>
    <x v="4"/>
    <x v="1"/>
    <x v="0"/>
    <x v="0"/>
    <x v="0"/>
    <x v="0"/>
    <n v="0"/>
    <x v="0"/>
    <x v="0"/>
    <m/>
    <n v="68"/>
  </r>
  <r>
    <s v="USR-100434"/>
    <d v="2025-01-10T00:00:00"/>
    <x v="0"/>
    <x v="3"/>
    <x v="0"/>
    <x v="4"/>
    <x v="0"/>
    <x v="0"/>
    <x v="0"/>
    <x v="0"/>
    <x v="0"/>
    <n v="0"/>
    <x v="0"/>
    <x v="0"/>
    <m/>
    <n v="68.2"/>
  </r>
  <r>
    <s v="USR-100435"/>
    <d v="2025-05-02T00:00:00"/>
    <x v="0"/>
    <x v="0"/>
    <x v="0"/>
    <x v="1"/>
    <x v="0"/>
    <x v="1"/>
    <x v="0"/>
    <x v="0"/>
    <x v="0"/>
    <n v="0"/>
    <x v="0"/>
    <x v="0"/>
    <m/>
    <n v="65.599999999999994"/>
  </r>
  <r>
    <s v="USR-100436"/>
    <d v="2025-05-26T00:00:00"/>
    <x v="0"/>
    <x v="0"/>
    <x v="0"/>
    <x v="1"/>
    <x v="0"/>
    <x v="1"/>
    <x v="0"/>
    <x v="0"/>
    <x v="0"/>
    <n v="0"/>
    <x v="0"/>
    <x v="0"/>
    <m/>
    <n v="65.400000000000006"/>
  </r>
  <r>
    <s v="USR-100437"/>
    <d v="2025-01-12T00:00:00"/>
    <x v="0"/>
    <x v="1"/>
    <x v="1"/>
    <x v="1"/>
    <x v="0"/>
    <x v="1"/>
    <x v="0"/>
    <x v="0"/>
    <x v="0"/>
    <n v="0"/>
    <x v="0"/>
    <x v="0"/>
    <m/>
    <n v="78.900000000000006"/>
  </r>
  <r>
    <s v="USR-100438"/>
    <d v="2025-05-27T00:00:00"/>
    <x v="0"/>
    <x v="2"/>
    <x v="1"/>
    <x v="2"/>
    <x v="0"/>
    <x v="1"/>
    <x v="1"/>
    <x v="1"/>
    <x v="0"/>
    <n v="0"/>
    <x v="0"/>
    <x v="0"/>
    <m/>
    <n v="78.3"/>
  </r>
  <r>
    <s v="USR-100439"/>
    <d v="2025-05-22T00:00:00"/>
    <x v="0"/>
    <x v="1"/>
    <x v="0"/>
    <x v="0"/>
    <x v="0"/>
    <x v="0"/>
    <x v="0"/>
    <x v="0"/>
    <x v="0"/>
    <n v="0"/>
    <x v="0"/>
    <x v="0"/>
    <m/>
    <n v="49.2"/>
  </r>
  <r>
    <s v="USR-100440"/>
    <d v="2025-04-01T00:00:00"/>
    <x v="0"/>
    <x v="2"/>
    <x v="1"/>
    <x v="4"/>
    <x v="2"/>
    <x v="1"/>
    <x v="1"/>
    <x v="1"/>
    <x v="1"/>
    <n v="1518.83"/>
    <x v="0"/>
    <x v="0"/>
    <n v="9"/>
    <n v="32.200000000000003"/>
  </r>
  <r>
    <s v="USR-100441"/>
    <d v="2025-01-22T00:00:00"/>
    <x v="0"/>
    <x v="0"/>
    <x v="1"/>
    <x v="2"/>
    <x v="0"/>
    <x v="1"/>
    <x v="1"/>
    <x v="1"/>
    <x v="0"/>
    <n v="0"/>
    <x v="0"/>
    <x v="0"/>
    <m/>
    <n v="46.3"/>
  </r>
  <r>
    <s v="USR-100442"/>
    <d v="2025-05-24T00:00:00"/>
    <x v="0"/>
    <x v="2"/>
    <x v="1"/>
    <x v="2"/>
    <x v="0"/>
    <x v="1"/>
    <x v="0"/>
    <x v="0"/>
    <x v="0"/>
    <n v="0"/>
    <x v="0"/>
    <x v="0"/>
    <m/>
    <n v="55.7"/>
  </r>
  <r>
    <s v="USR-100443"/>
    <d v="2025-04-25T00:00:00"/>
    <x v="0"/>
    <x v="3"/>
    <x v="1"/>
    <x v="4"/>
    <x v="1"/>
    <x v="1"/>
    <x v="0"/>
    <x v="0"/>
    <x v="0"/>
    <n v="0"/>
    <x v="0"/>
    <x v="0"/>
    <m/>
    <n v="44.5"/>
  </r>
  <r>
    <s v="USR-100444"/>
    <d v="2025-04-12T00:00:00"/>
    <x v="0"/>
    <x v="1"/>
    <x v="0"/>
    <x v="3"/>
    <x v="1"/>
    <x v="1"/>
    <x v="1"/>
    <x v="1"/>
    <x v="0"/>
    <n v="0"/>
    <x v="1"/>
    <x v="0"/>
    <m/>
    <n v="47.9"/>
  </r>
  <r>
    <s v="USR-100445"/>
    <d v="2025-04-23T00:00:00"/>
    <x v="0"/>
    <x v="3"/>
    <x v="1"/>
    <x v="1"/>
    <x v="2"/>
    <x v="1"/>
    <x v="0"/>
    <x v="0"/>
    <x v="0"/>
    <n v="0"/>
    <x v="0"/>
    <x v="0"/>
    <m/>
    <n v="43.9"/>
  </r>
  <r>
    <s v="USR-100446"/>
    <d v="2025-03-30T00:00:00"/>
    <x v="0"/>
    <x v="0"/>
    <x v="0"/>
    <x v="3"/>
    <x v="1"/>
    <x v="1"/>
    <x v="1"/>
    <x v="1"/>
    <x v="0"/>
    <n v="0"/>
    <x v="1"/>
    <x v="0"/>
    <m/>
    <n v="67.7"/>
  </r>
  <r>
    <s v="USR-100447"/>
    <d v="2025-01-18T00:00:00"/>
    <x v="0"/>
    <x v="2"/>
    <x v="1"/>
    <x v="3"/>
    <x v="0"/>
    <x v="0"/>
    <x v="0"/>
    <x v="0"/>
    <x v="0"/>
    <n v="0"/>
    <x v="0"/>
    <x v="0"/>
    <m/>
    <n v="43.7"/>
  </r>
  <r>
    <s v="USR-100448"/>
    <d v="2025-04-09T00:00:00"/>
    <x v="0"/>
    <x v="2"/>
    <x v="1"/>
    <x v="1"/>
    <x v="1"/>
    <x v="1"/>
    <x v="0"/>
    <x v="0"/>
    <x v="0"/>
    <n v="0"/>
    <x v="0"/>
    <x v="0"/>
    <m/>
    <n v="68.8"/>
  </r>
  <r>
    <s v="USR-100449"/>
    <d v="2025-01-11T00:00:00"/>
    <x v="0"/>
    <x v="1"/>
    <x v="1"/>
    <x v="1"/>
    <x v="1"/>
    <x v="1"/>
    <x v="1"/>
    <x v="1"/>
    <x v="0"/>
    <n v="0"/>
    <x v="0"/>
    <x v="0"/>
    <m/>
    <n v="59.2"/>
  </r>
  <r>
    <s v="USR-100450"/>
    <d v="2025-03-05T00:00:00"/>
    <x v="0"/>
    <x v="2"/>
    <x v="1"/>
    <x v="2"/>
    <x v="1"/>
    <x v="1"/>
    <x v="0"/>
    <x v="0"/>
    <x v="0"/>
    <n v="0"/>
    <x v="0"/>
    <x v="0"/>
    <m/>
    <n v="48.6"/>
  </r>
  <r>
    <s v="USR-100451"/>
    <d v="2025-02-17T00:00:00"/>
    <x v="0"/>
    <x v="0"/>
    <x v="2"/>
    <x v="4"/>
    <x v="1"/>
    <x v="1"/>
    <x v="1"/>
    <x v="1"/>
    <x v="0"/>
    <n v="0"/>
    <x v="0"/>
    <x v="0"/>
    <m/>
    <n v="56.9"/>
  </r>
  <r>
    <s v="USR-100452"/>
    <d v="2025-05-07T00:00:00"/>
    <x v="0"/>
    <x v="0"/>
    <x v="0"/>
    <x v="2"/>
    <x v="1"/>
    <x v="0"/>
    <x v="0"/>
    <x v="0"/>
    <x v="0"/>
    <n v="0"/>
    <x v="0"/>
    <x v="0"/>
    <m/>
    <n v="55.8"/>
  </r>
  <r>
    <s v="USR-100453"/>
    <d v="2025-04-10T00:00:00"/>
    <x v="0"/>
    <x v="2"/>
    <x v="1"/>
    <x v="2"/>
    <x v="2"/>
    <x v="0"/>
    <x v="0"/>
    <x v="0"/>
    <x v="0"/>
    <n v="0"/>
    <x v="0"/>
    <x v="0"/>
    <m/>
    <n v="63.3"/>
  </r>
  <r>
    <s v="USR-100454"/>
    <d v="2025-04-21T00:00:00"/>
    <x v="0"/>
    <x v="0"/>
    <x v="1"/>
    <x v="4"/>
    <x v="1"/>
    <x v="1"/>
    <x v="0"/>
    <x v="0"/>
    <x v="0"/>
    <n v="0"/>
    <x v="0"/>
    <x v="0"/>
    <m/>
    <n v="52.2"/>
  </r>
  <r>
    <s v="USR-100455"/>
    <d v="2025-02-25T00:00:00"/>
    <x v="0"/>
    <x v="3"/>
    <x v="2"/>
    <x v="5"/>
    <x v="1"/>
    <x v="0"/>
    <x v="0"/>
    <x v="0"/>
    <x v="0"/>
    <n v="0"/>
    <x v="0"/>
    <x v="0"/>
    <m/>
    <n v="51.5"/>
  </r>
  <r>
    <s v="USR-100456"/>
    <d v="2025-05-14T00:00:00"/>
    <x v="0"/>
    <x v="2"/>
    <x v="0"/>
    <x v="1"/>
    <x v="1"/>
    <x v="0"/>
    <x v="0"/>
    <x v="0"/>
    <x v="0"/>
    <n v="0"/>
    <x v="0"/>
    <x v="0"/>
    <m/>
    <n v="50.3"/>
  </r>
  <r>
    <s v="USR-100457"/>
    <d v="2025-03-10T00:00:00"/>
    <x v="0"/>
    <x v="0"/>
    <x v="1"/>
    <x v="0"/>
    <x v="0"/>
    <x v="1"/>
    <x v="0"/>
    <x v="0"/>
    <x v="0"/>
    <n v="0"/>
    <x v="1"/>
    <x v="0"/>
    <m/>
    <n v="35.4"/>
  </r>
  <r>
    <s v="USR-100458"/>
    <d v="2025-01-31T00:00:00"/>
    <x v="0"/>
    <x v="1"/>
    <x v="0"/>
    <x v="1"/>
    <x v="2"/>
    <x v="1"/>
    <x v="0"/>
    <x v="0"/>
    <x v="0"/>
    <n v="0"/>
    <x v="1"/>
    <x v="0"/>
    <m/>
    <n v="54.1"/>
  </r>
  <r>
    <s v="USR-100459"/>
    <d v="2025-01-17T00:00:00"/>
    <x v="0"/>
    <x v="3"/>
    <x v="1"/>
    <x v="1"/>
    <x v="2"/>
    <x v="1"/>
    <x v="0"/>
    <x v="0"/>
    <x v="0"/>
    <n v="0"/>
    <x v="0"/>
    <x v="0"/>
    <m/>
    <n v="56.2"/>
  </r>
  <r>
    <s v="USR-100460"/>
    <d v="2025-03-12T00:00:00"/>
    <x v="0"/>
    <x v="3"/>
    <x v="1"/>
    <x v="2"/>
    <x v="1"/>
    <x v="0"/>
    <x v="0"/>
    <x v="0"/>
    <x v="0"/>
    <n v="0"/>
    <x v="3"/>
    <x v="0"/>
    <m/>
    <n v="43.7"/>
  </r>
  <r>
    <s v="USR-100461"/>
    <d v="2025-02-28T00:00:00"/>
    <x v="0"/>
    <x v="1"/>
    <x v="0"/>
    <x v="1"/>
    <x v="2"/>
    <x v="1"/>
    <x v="1"/>
    <x v="0"/>
    <x v="0"/>
    <n v="0"/>
    <x v="0"/>
    <x v="0"/>
    <m/>
    <n v="51.3"/>
  </r>
  <r>
    <s v="USR-100462"/>
    <d v="2025-05-19T00:00:00"/>
    <x v="0"/>
    <x v="0"/>
    <x v="3"/>
    <x v="1"/>
    <x v="0"/>
    <x v="1"/>
    <x v="0"/>
    <x v="0"/>
    <x v="0"/>
    <n v="0"/>
    <x v="0"/>
    <x v="0"/>
    <m/>
    <n v="50.5"/>
  </r>
  <r>
    <s v="USR-100463"/>
    <d v="2025-02-23T00:00:00"/>
    <x v="0"/>
    <x v="0"/>
    <x v="1"/>
    <x v="3"/>
    <x v="0"/>
    <x v="1"/>
    <x v="0"/>
    <x v="0"/>
    <x v="0"/>
    <n v="0"/>
    <x v="0"/>
    <x v="0"/>
    <m/>
    <n v="57.3"/>
  </r>
  <r>
    <s v="USR-100464"/>
    <d v="2025-02-20T00:00:00"/>
    <x v="0"/>
    <x v="1"/>
    <x v="0"/>
    <x v="1"/>
    <x v="1"/>
    <x v="1"/>
    <x v="1"/>
    <x v="1"/>
    <x v="0"/>
    <n v="0"/>
    <x v="0"/>
    <x v="0"/>
    <m/>
    <n v="58.4"/>
  </r>
  <r>
    <s v="USR-100465"/>
    <d v="2025-04-12T00:00:00"/>
    <x v="0"/>
    <x v="0"/>
    <x v="1"/>
    <x v="5"/>
    <x v="1"/>
    <x v="0"/>
    <x v="0"/>
    <x v="0"/>
    <x v="0"/>
    <n v="0"/>
    <x v="0"/>
    <x v="0"/>
    <m/>
    <n v="56.5"/>
  </r>
  <r>
    <s v="USR-100466"/>
    <d v="2025-01-08T00:00:00"/>
    <x v="0"/>
    <x v="1"/>
    <x v="1"/>
    <x v="0"/>
    <x v="1"/>
    <x v="0"/>
    <x v="0"/>
    <x v="0"/>
    <x v="0"/>
    <n v="0"/>
    <x v="0"/>
    <x v="0"/>
    <m/>
    <n v="69.599999999999994"/>
  </r>
  <r>
    <s v="USR-100467"/>
    <d v="2025-02-13T00:00:00"/>
    <x v="0"/>
    <x v="1"/>
    <x v="1"/>
    <x v="1"/>
    <x v="0"/>
    <x v="0"/>
    <x v="0"/>
    <x v="0"/>
    <x v="0"/>
    <n v="0"/>
    <x v="0"/>
    <x v="0"/>
    <m/>
    <n v="6.2"/>
  </r>
  <r>
    <s v="USR-100468"/>
    <d v="2025-05-21T00:00:00"/>
    <x v="0"/>
    <x v="2"/>
    <x v="0"/>
    <x v="0"/>
    <x v="1"/>
    <x v="1"/>
    <x v="1"/>
    <x v="1"/>
    <x v="0"/>
    <n v="0"/>
    <x v="0"/>
    <x v="0"/>
    <m/>
    <n v="54.3"/>
  </r>
  <r>
    <s v="USR-100469"/>
    <d v="2025-05-30T00:00:00"/>
    <x v="0"/>
    <x v="0"/>
    <x v="1"/>
    <x v="1"/>
    <x v="0"/>
    <x v="0"/>
    <x v="0"/>
    <x v="0"/>
    <x v="0"/>
    <n v="0"/>
    <x v="0"/>
    <x v="0"/>
    <m/>
    <n v="59.8"/>
  </r>
  <r>
    <s v="USR-100470"/>
    <d v="2025-05-20T00:00:00"/>
    <x v="0"/>
    <x v="1"/>
    <x v="1"/>
    <x v="2"/>
    <x v="1"/>
    <x v="0"/>
    <x v="0"/>
    <x v="0"/>
    <x v="0"/>
    <n v="0"/>
    <x v="0"/>
    <x v="0"/>
    <m/>
    <n v="58.9"/>
  </r>
  <r>
    <s v="USR-100471"/>
    <d v="2025-01-09T00:00:00"/>
    <x v="0"/>
    <x v="2"/>
    <x v="0"/>
    <x v="1"/>
    <x v="1"/>
    <x v="0"/>
    <x v="0"/>
    <x v="0"/>
    <x v="0"/>
    <n v="0"/>
    <x v="1"/>
    <x v="0"/>
    <m/>
    <n v="52.9"/>
  </r>
  <r>
    <s v="USR-100472"/>
    <d v="2025-03-07T00:00:00"/>
    <x v="0"/>
    <x v="1"/>
    <x v="1"/>
    <x v="1"/>
    <x v="1"/>
    <x v="0"/>
    <x v="0"/>
    <x v="0"/>
    <x v="0"/>
    <n v="0"/>
    <x v="0"/>
    <x v="0"/>
    <m/>
    <n v="67.8"/>
  </r>
  <r>
    <s v="USR-100473"/>
    <d v="2025-04-23T00:00:00"/>
    <x v="0"/>
    <x v="3"/>
    <x v="1"/>
    <x v="4"/>
    <x v="1"/>
    <x v="0"/>
    <x v="0"/>
    <x v="0"/>
    <x v="0"/>
    <n v="0"/>
    <x v="0"/>
    <x v="0"/>
    <m/>
    <n v="48.7"/>
  </r>
  <r>
    <s v="USR-100474"/>
    <d v="2025-03-08T00:00:00"/>
    <x v="0"/>
    <x v="2"/>
    <x v="1"/>
    <x v="1"/>
    <x v="0"/>
    <x v="0"/>
    <x v="0"/>
    <x v="0"/>
    <x v="0"/>
    <n v="0"/>
    <x v="0"/>
    <x v="0"/>
    <m/>
    <n v="59"/>
  </r>
  <r>
    <s v="USR-100475"/>
    <d v="2025-02-14T00:00:00"/>
    <x v="0"/>
    <x v="3"/>
    <x v="1"/>
    <x v="3"/>
    <x v="1"/>
    <x v="0"/>
    <x v="0"/>
    <x v="0"/>
    <x v="0"/>
    <n v="0"/>
    <x v="0"/>
    <x v="0"/>
    <m/>
    <n v="63.2"/>
  </r>
  <r>
    <s v="USR-100476"/>
    <d v="2025-05-17T00:00:00"/>
    <x v="0"/>
    <x v="1"/>
    <x v="1"/>
    <x v="3"/>
    <x v="0"/>
    <x v="1"/>
    <x v="0"/>
    <x v="0"/>
    <x v="0"/>
    <n v="0"/>
    <x v="0"/>
    <x v="0"/>
    <m/>
    <n v="68.7"/>
  </r>
  <r>
    <s v="USR-100477"/>
    <d v="2025-04-25T00:00:00"/>
    <x v="0"/>
    <x v="3"/>
    <x v="1"/>
    <x v="3"/>
    <x v="1"/>
    <x v="0"/>
    <x v="0"/>
    <x v="0"/>
    <x v="0"/>
    <n v="0"/>
    <x v="0"/>
    <x v="0"/>
    <m/>
    <n v="52.1"/>
  </r>
  <r>
    <s v="USR-100478"/>
    <d v="2025-03-04T00:00:00"/>
    <x v="0"/>
    <x v="3"/>
    <x v="0"/>
    <x v="4"/>
    <x v="0"/>
    <x v="0"/>
    <x v="0"/>
    <x v="0"/>
    <x v="0"/>
    <n v="0"/>
    <x v="0"/>
    <x v="0"/>
    <m/>
    <n v="56.5"/>
  </r>
  <r>
    <s v="USR-100479"/>
    <d v="2025-03-18T00:00:00"/>
    <x v="0"/>
    <x v="3"/>
    <x v="1"/>
    <x v="1"/>
    <x v="1"/>
    <x v="1"/>
    <x v="0"/>
    <x v="0"/>
    <x v="0"/>
    <n v="0"/>
    <x v="0"/>
    <x v="0"/>
    <m/>
    <n v="64.400000000000006"/>
  </r>
  <r>
    <s v="USR-100480"/>
    <d v="2025-01-30T00:00:00"/>
    <x v="0"/>
    <x v="1"/>
    <x v="1"/>
    <x v="2"/>
    <x v="2"/>
    <x v="1"/>
    <x v="0"/>
    <x v="0"/>
    <x v="0"/>
    <n v="0"/>
    <x v="0"/>
    <x v="0"/>
    <m/>
    <n v="65.900000000000006"/>
  </r>
  <r>
    <s v="USR-100481"/>
    <d v="2025-05-20T00:00:00"/>
    <x v="0"/>
    <x v="1"/>
    <x v="2"/>
    <x v="3"/>
    <x v="1"/>
    <x v="1"/>
    <x v="1"/>
    <x v="1"/>
    <x v="0"/>
    <n v="0"/>
    <x v="0"/>
    <x v="0"/>
    <m/>
    <n v="100"/>
  </r>
  <r>
    <s v="USR-100482"/>
    <d v="2025-02-13T00:00:00"/>
    <x v="0"/>
    <x v="0"/>
    <x v="3"/>
    <x v="1"/>
    <x v="0"/>
    <x v="1"/>
    <x v="1"/>
    <x v="1"/>
    <x v="0"/>
    <n v="0"/>
    <x v="0"/>
    <x v="0"/>
    <m/>
    <n v="50.4"/>
  </r>
  <r>
    <s v="USR-100483"/>
    <d v="2025-04-12T00:00:00"/>
    <x v="0"/>
    <x v="1"/>
    <x v="0"/>
    <x v="1"/>
    <x v="0"/>
    <x v="0"/>
    <x v="0"/>
    <x v="0"/>
    <x v="0"/>
    <n v="0"/>
    <x v="0"/>
    <x v="0"/>
    <m/>
    <n v="41.5"/>
  </r>
  <r>
    <s v="USR-100484"/>
    <d v="2025-04-07T00:00:00"/>
    <x v="0"/>
    <x v="0"/>
    <x v="1"/>
    <x v="0"/>
    <x v="1"/>
    <x v="0"/>
    <x v="0"/>
    <x v="0"/>
    <x v="0"/>
    <n v="0"/>
    <x v="0"/>
    <x v="0"/>
    <m/>
    <n v="86.2"/>
  </r>
  <r>
    <s v="USR-100485"/>
    <d v="2025-03-12T00:00:00"/>
    <x v="0"/>
    <x v="0"/>
    <x v="0"/>
    <x v="4"/>
    <x v="1"/>
    <x v="1"/>
    <x v="1"/>
    <x v="1"/>
    <x v="0"/>
    <n v="0"/>
    <x v="2"/>
    <x v="0"/>
    <m/>
    <n v="50.8"/>
  </r>
  <r>
    <s v="USR-100486"/>
    <d v="2025-02-07T00:00:00"/>
    <x v="0"/>
    <x v="1"/>
    <x v="1"/>
    <x v="1"/>
    <x v="1"/>
    <x v="1"/>
    <x v="0"/>
    <x v="0"/>
    <x v="0"/>
    <n v="0"/>
    <x v="0"/>
    <x v="0"/>
    <m/>
    <n v="50.9"/>
  </r>
  <r>
    <s v="USR-100487"/>
    <d v="2025-05-05T00:00:00"/>
    <x v="0"/>
    <x v="0"/>
    <x v="1"/>
    <x v="1"/>
    <x v="2"/>
    <x v="1"/>
    <x v="1"/>
    <x v="0"/>
    <x v="0"/>
    <n v="0"/>
    <x v="0"/>
    <x v="0"/>
    <m/>
    <n v="87.5"/>
  </r>
  <r>
    <s v="USR-100488"/>
    <d v="2025-03-18T00:00:00"/>
    <x v="0"/>
    <x v="3"/>
    <x v="1"/>
    <x v="3"/>
    <x v="1"/>
    <x v="0"/>
    <x v="0"/>
    <x v="0"/>
    <x v="0"/>
    <n v="0"/>
    <x v="0"/>
    <x v="0"/>
    <m/>
    <n v="43.6"/>
  </r>
  <r>
    <s v="USR-100489"/>
    <d v="2025-01-05T00:00:00"/>
    <x v="0"/>
    <x v="3"/>
    <x v="1"/>
    <x v="2"/>
    <x v="0"/>
    <x v="1"/>
    <x v="0"/>
    <x v="0"/>
    <x v="0"/>
    <n v="0"/>
    <x v="0"/>
    <x v="0"/>
    <m/>
    <n v="55.5"/>
  </r>
  <r>
    <s v="USR-100490"/>
    <d v="2025-05-10T00:00:00"/>
    <x v="0"/>
    <x v="3"/>
    <x v="0"/>
    <x v="3"/>
    <x v="0"/>
    <x v="0"/>
    <x v="0"/>
    <x v="0"/>
    <x v="0"/>
    <n v="0"/>
    <x v="0"/>
    <x v="0"/>
    <m/>
    <n v="78.599999999999994"/>
  </r>
  <r>
    <s v="USR-100491"/>
    <d v="2025-01-03T00:00:00"/>
    <x v="0"/>
    <x v="3"/>
    <x v="1"/>
    <x v="4"/>
    <x v="0"/>
    <x v="1"/>
    <x v="1"/>
    <x v="0"/>
    <x v="0"/>
    <n v="0"/>
    <x v="1"/>
    <x v="0"/>
    <m/>
    <n v="44.3"/>
  </r>
  <r>
    <s v="USR-100492"/>
    <d v="2025-05-08T00:00:00"/>
    <x v="0"/>
    <x v="3"/>
    <x v="1"/>
    <x v="2"/>
    <x v="1"/>
    <x v="1"/>
    <x v="1"/>
    <x v="0"/>
    <x v="0"/>
    <n v="0"/>
    <x v="0"/>
    <x v="0"/>
    <m/>
    <n v="45.2"/>
  </r>
  <r>
    <s v="USR-100493"/>
    <d v="2025-03-05T00:00:00"/>
    <x v="0"/>
    <x v="3"/>
    <x v="0"/>
    <x v="0"/>
    <x v="0"/>
    <x v="1"/>
    <x v="0"/>
    <x v="0"/>
    <x v="0"/>
    <n v="0"/>
    <x v="2"/>
    <x v="0"/>
    <m/>
    <n v="46.1"/>
  </r>
  <r>
    <s v="USR-100494"/>
    <d v="2025-02-17T00:00:00"/>
    <x v="0"/>
    <x v="0"/>
    <x v="1"/>
    <x v="1"/>
    <x v="2"/>
    <x v="1"/>
    <x v="0"/>
    <x v="0"/>
    <x v="0"/>
    <n v="0"/>
    <x v="0"/>
    <x v="0"/>
    <m/>
    <n v="49.6"/>
  </r>
  <r>
    <s v="USR-100495"/>
    <d v="2025-01-09T00:00:00"/>
    <x v="0"/>
    <x v="3"/>
    <x v="1"/>
    <x v="3"/>
    <x v="0"/>
    <x v="0"/>
    <x v="0"/>
    <x v="0"/>
    <x v="0"/>
    <n v="0"/>
    <x v="0"/>
    <x v="0"/>
    <m/>
    <n v="70.5"/>
  </r>
  <r>
    <s v="USR-100496"/>
    <d v="2025-05-05T00:00:00"/>
    <x v="0"/>
    <x v="3"/>
    <x v="1"/>
    <x v="0"/>
    <x v="0"/>
    <x v="0"/>
    <x v="0"/>
    <x v="0"/>
    <x v="0"/>
    <n v="0"/>
    <x v="1"/>
    <x v="0"/>
    <m/>
    <n v="60.8"/>
  </r>
  <r>
    <s v="USR-100497"/>
    <d v="2025-04-16T00:00:00"/>
    <x v="0"/>
    <x v="2"/>
    <x v="1"/>
    <x v="0"/>
    <x v="0"/>
    <x v="0"/>
    <x v="0"/>
    <x v="0"/>
    <x v="0"/>
    <n v="0"/>
    <x v="1"/>
    <x v="0"/>
    <m/>
    <n v="50.5"/>
  </r>
  <r>
    <s v="USR-100498"/>
    <d v="2025-03-02T00:00:00"/>
    <x v="0"/>
    <x v="3"/>
    <x v="0"/>
    <x v="1"/>
    <x v="1"/>
    <x v="1"/>
    <x v="0"/>
    <x v="0"/>
    <x v="0"/>
    <n v="0"/>
    <x v="0"/>
    <x v="0"/>
    <m/>
    <n v="54.9"/>
  </r>
  <r>
    <s v="USR-100499"/>
    <d v="2025-04-14T00:00:00"/>
    <x v="0"/>
    <x v="3"/>
    <x v="1"/>
    <x v="4"/>
    <x v="2"/>
    <x v="0"/>
    <x v="0"/>
    <x v="0"/>
    <x v="0"/>
    <n v="0"/>
    <x v="0"/>
    <x v="0"/>
    <m/>
    <n v="29.9"/>
  </r>
  <r>
    <s v="USR-100500"/>
    <d v="2025-02-15T00:00:00"/>
    <x v="0"/>
    <x v="2"/>
    <x v="0"/>
    <x v="2"/>
    <x v="0"/>
    <x v="0"/>
    <x v="0"/>
    <x v="0"/>
    <x v="0"/>
    <n v="0"/>
    <x v="0"/>
    <x v="0"/>
    <m/>
    <n v="48.3"/>
  </r>
  <r>
    <s v="USR-100501"/>
    <d v="2025-02-13T00:00:00"/>
    <x v="0"/>
    <x v="1"/>
    <x v="1"/>
    <x v="4"/>
    <x v="1"/>
    <x v="1"/>
    <x v="1"/>
    <x v="1"/>
    <x v="1"/>
    <n v="513.61"/>
    <x v="0"/>
    <x v="0"/>
    <n v="7"/>
    <n v="41.3"/>
  </r>
  <r>
    <s v="USR-100502"/>
    <d v="2025-03-06T00:00:00"/>
    <x v="0"/>
    <x v="0"/>
    <x v="1"/>
    <x v="0"/>
    <x v="1"/>
    <x v="0"/>
    <x v="0"/>
    <x v="0"/>
    <x v="0"/>
    <n v="0"/>
    <x v="0"/>
    <x v="0"/>
    <m/>
    <n v="61.4"/>
  </r>
  <r>
    <s v="USR-100503"/>
    <d v="2025-02-18T00:00:00"/>
    <x v="0"/>
    <x v="3"/>
    <x v="0"/>
    <x v="4"/>
    <x v="1"/>
    <x v="0"/>
    <x v="0"/>
    <x v="0"/>
    <x v="0"/>
    <n v="0"/>
    <x v="0"/>
    <x v="0"/>
    <m/>
    <n v="57.8"/>
  </r>
  <r>
    <s v="USR-100504"/>
    <d v="2025-04-07T00:00:00"/>
    <x v="0"/>
    <x v="0"/>
    <x v="0"/>
    <x v="1"/>
    <x v="1"/>
    <x v="0"/>
    <x v="0"/>
    <x v="0"/>
    <x v="0"/>
    <n v="0"/>
    <x v="0"/>
    <x v="0"/>
    <m/>
    <n v="78.2"/>
  </r>
  <r>
    <s v="USR-100505"/>
    <d v="2025-04-06T00:00:00"/>
    <x v="0"/>
    <x v="0"/>
    <x v="1"/>
    <x v="3"/>
    <x v="1"/>
    <x v="0"/>
    <x v="0"/>
    <x v="0"/>
    <x v="0"/>
    <n v="0"/>
    <x v="0"/>
    <x v="0"/>
    <m/>
    <n v="63.8"/>
  </r>
  <r>
    <s v="USR-100506"/>
    <d v="2025-01-30T00:00:00"/>
    <x v="0"/>
    <x v="0"/>
    <x v="0"/>
    <x v="4"/>
    <x v="1"/>
    <x v="1"/>
    <x v="0"/>
    <x v="0"/>
    <x v="0"/>
    <n v="0"/>
    <x v="0"/>
    <x v="0"/>
    <m/>
    <n v="56.8"/>
  </r>
  <r>
    <s v="USR-100507"/>
    <d v="2025-05-13T00:00:00"/>
    <x v="0"/>
    <x v="3"/>
    <x v="0"/>
    <x v="1"/>
    <x v="0"/>
    <x v="1"/>
    <x v="1"/>
    <x v="0"/>
    <x v="0"/>
    <n v="0"/>
    <x v="0"/>
    <x v="0"/>
    <m/>
    <n v="59.6"/>
  </r>
  <r>
    <s v="USR-100508"/>
    <d v="2025-01-20T00:00:00"/>
    <x v="0"/>
    <x v="1"/>
    <x v="1"/>
    <x v="2"/>
    <x v="2"/>
    <x v="1"/>
    <x v="1"/>
    <x v="0"/>
    <x v="0"/>
    <n v="0"/>
    <x v="0"/>
    <x v="0"/>
    <m/>
    <n v="50"/>
  </r>
  <r>
    <s v="USR-100509"/>
    <d v="2025-01-30T00:00:00"/>
    <x v="0"/>
    <x v="0"/>
    <x v="2"/>
    <x v="1"/>
    <x v="1"/>
    <x v="1"/>
    <x v="0"/>
    <x v="0"/>
    <x v="0"/>
    <n v="0"/>
    <x v="0"/>
    <x v="0"/>
    <m/>
    <n v="35.700000000000003"/>
  </r>
  <r>
    <s v="USR-100510"/>
    <d v="2025-01-13T00:00:00"/>
    <x v="0"/>
    <x v="3"/>
    <x v="1"/>
    <x v="1"/>
    <x v="1"/>
    <x v="0"/>
    <x v="0"/>
    <x v="0"/>
    <x v="0"/>
    <n v="0"/>
    <x v="2"/>
    <x v="0"/>
    <m/>
    <n v="47.2"/>
  </r>
  <r>
    <s v="USR-100511"/>
    <d v="2025-02-11T00:00:00"/>
    <x v="0"/>
    <x v="0"/>
    <x v="1"/>
    <x v="4"/>
    <x v="1"/>
    <x v="1"/>
    <x v="1"/>
    <x v="0"/>
    <x v="0"/>
    <n v="0"/>
    <x v="0"/>
    <x v="0"/>
    <m/>
    <n v="56.9"/>
  </r>
  <r>
    <s v="USR-100512"/>
    <d v="2025-04-15T00:00:00"/>
    <x v="0"/>
    <x v="3"/>
    <x v="1"/>
    <x v="1"/>
    <x v="1"/>
    <x v="0"/>
    <x v="0"/>
    <x v="0"/>
    <x v="0"/>
    <n v="0"/>
    <x v="1"/>
    <x v="0"/>
    <m/>
    <n v="57.2"/>
  </r>
  <r>
    <s v="USR-100513"/>
    <d v="2025-02-13T00:00:00"/>
    <x v="0"/>
    <x v="3"/>
    <x v="1"/>
    <x v="5"/>
    <x v="1"/>
    <x v="1"/>
    <x v="1"/>
    <x v="0"/>
    <x v="0"/>
    <n v="0"/>
    <x v="0"/>
    <x v="0"/>
    <m/>
    <n v="31.4"/>
  </r>
  <r>
    <s v="USR-100514"/>
    <d v="2025-05-09T00:00:00"/>
    <x v="0"/>
    <x v="3"/>
    <x v="0"/>
    <x v="1"/>
    <x v="1"/>
    <x v="0"/>
    <x v="0"/>
    <x v="0"/>
    <x v="0"/>
    <n v="0"/>
    <x v="0"/>
    <x v="0"/>
    <m/>
    <n v="71.2"/>
  </r>
  <r>
    <s v="USR-100515"/>
    <d v="2025-03-10T00:00:00"/>
    <x v="0"/>
    <x v="0"/>
    <x v="1"/>
    <x v="2"/>
    <x v="1"/>
    <x v="1"/>
    <x v="1"/>
    <x v="1"/>
    <x v="0"/>
    <n v="0"/>
    <x v="1"/>
    <x v="0"/>
    <m/>
    <n v="38.299999999999997"/>
  </r>
  <r>
    <s v="USR-100516"/>
    <d v="2025-04-01T00:00:00"/>
    <x v="0"/>
    <x v="0"/>
    <x v="1"/>
    <x v="1"/>
    <x v="1"/>
    <x v="1"/>
    <x v="1"/>
    <x v="0"/>
    <x v="0"/>
    <n v="0"/>
    <x v="0"/>
    <x v="0"/>
    <m/>
    <n v="63.1"/>
  </r>
  <r>
    <s v="USR-100517"/>
    <d v="2025-05-15T00:00:00"/>
    <x v="0"/>
    <x v="2"/>
    <x v="1"/>
    <x v="3"/>
    <x v="0"/>
    <x v="1"/>
    <x v="0"/>
    <x v="0"/>
    <x v="0"/>
    <n v="0"/>
    <x v="0"/>
    <x v="0"/>
    <m/>
    <n v="59.7"/>
  </r>
  <r>
    <s v="USR-100518"/>
    <d v="2025-05-04T00:00:00"/>
    <x v="0"/>
    <x v="3"/>
    <x v="0"/>
    <x v="4"/>
    <x v="2"/>
    <x v="1"/>
    <x v="1"/>
    <x v="1"/>
    <x v="0"/>
    <n v="0"/>
    <x v="0"/>
    <x v="0"/>
    <m/>
    <n v="59.5"/>
  </r>
  <r>
    <s v="USR-100519"/>
    <d v="2025-05-20T00:00:00"/>
    <x v="0"/>
    <x v="2"/>
    <x v="1"/>
    <x v="2"/>
    <x v="1"/>
    <x v="0"/>
    <x v="0"/>
    <x v="0"/>
    <x v="0"/>
    <n v="0"/>
    <x v="0"/>
    <x v="0"/>
    <m/>
    <n v="78.8"/>
  </r>
  <r>
    <s v="USR-100520"/>
    <d v="2025-05-16T00:00:00"/>
    <x v="0"/>
    <x v="1"/>
    <x v="0"/>
    <x v="3"/>
    <x v="1"/>
    <x v="0"/>
    <x v="0"/>
    <x v="0"/>
    <x v="0"/>
    <n v="0"/>
    <x v="0"/>
    <x v="0"/>
    <m/>
    <n v="54"/>
  </r>
  <r>
    <s v="USR-100521"/>
    <d v="2025-03-17T00:00:00"/>
    <x v="0"/>
    <x v="1"/>
    <x v="1"/>
    <x v="1"/>
    <x v="1"/>
    <x v="1"/>
    <x v="0"/>
    <x v="0"/>
    <x v="0"/>
    <n v="0"/>
    <x v="0"/>
    <x v="0"/>
    <m/>
    <n v="66.3"/>
  </r>
  <r>
    <s v="USR-100522"/>
    <d v="2025-01-27T00:00:00"/>
    <x v="0"/>
    <x v="2"/>
    <x v="2"/>
    <x v="2"/>
    <x v="1"/>
    <x v="1"/>
    <x v="1"/>
    <x v="0"/>
    <x v="0"/>
    <n v="0"/>
    <x v="0"/>
    <x v="0"/>
    <m/>
    <n v="54.7"/>
  </r>
  <r>
    <s v="USR-100523"/>
    <d v="2025-04-13T00:00:00"/>
    <x v="0"/>
    <x v="3"/>
    <x v="1"/>
    <x v="1"/>
    <x v="0"/>
    <x v="1"/>
    <x v="0"/>
    <x v="0"/>
    <x v="0"/>
    <n v="0"/>
    <x v="0"/>
    <x v="0"/>
    <m/>
    <n v="76.7"/>
  </r>
  <r>
    <s v="USR-100524"/>
    <d v="2025-05-03T00:00:00"/>
    <x v="0"/>
    <x v="3"/>
    <x v="0"/>
    <x v="0"/>
    <x v="0"/>
    <x v="1"/>
    <x v="0"/>
    <x v="0"/>
    <x v="0"/>
    <n v="0"/>
    <x v="2"/>
    <x v="0"/>
    <m/>
    <n v="47.4"/>
  </r>
  <r>
    <s v="USR-100525"/>
    <d v="2025-03-30T00:00:00"/>
    <x v="0"/>
    <x v="0"/>
    <x v="1"/>
    <x v="1"/>
    <x v="1"/>
    <x v="1"/>
    <x v="1"/>
    <x v="1"/>
    <x v="0"/>
    <n v="0"/>
    <x v="0"/>
    <x v="0"/>
    <m/>
    <n v="81.7"/>
  </r>
  <r>
    <s v="USR-100526"/>
    <d v="2025-01-01T00:00:00"/>
    <x v="0"/>
    <x v="1"/>
    <x v="1"/>
    <x v="2"/>
    <x v="0"/>
    <x v="1"/>
    <x v="1"/>
    <x v="1"/>
    <x v="0"/>
    <n v="0"/>
    <x v="0"/>
    <x v="0"/>
    <m/>
    <n v="67.5"/>
  </r>
  <r>
    <s v="USR-100527"/>
    <d v="2025-02-06T00:00:00"/>
    <x v="0"/>
    <x v="1"/>
    <x v="1"/>
    <x v="2"/>
    <x v="0"/>
    <x v="1"/>
    <x v="0"/>
    <x v="0"/>
    <x v="0"/>
    <n v="0"/>
    <x v="0"/>
    <x v="0"/>
    <m/>
    <n v="36.799999999999997"/>
  </r>
  <r>
    <s v="USR-100528"/>
    <d v="2025-02-25T00:00:00"/>
    <x v="0"/>
    <x v="0"/>
    <x v="0"/>
    <x v="1"/>
    <x v="1"/>
    <x v="0"/>
    <x v="0"/>
    <x v="0"/>
    <x v="0"/>
    <n v="0"/>
    <x v="0"/>
    <x v="0"/>
    <m/>
    <n v="66.5"/>
  </r>
  <r>
    <s v="USR-100529"/>
    <d v="2025-05-14T00:00:00"/>
    <x v="0"/>
    <x v="2"/>
    <x v="2"/>
    <x v="4"/>
    <x v="1"/>
    <x v="1"/>
    <x v="0"/>
    <x v="0"/>
    <x v="0"/>
    <n v="0"/>
    <x v="0"/>
    <x v="0"/>
    <m/>
    <n v="35.4"/>
  </r>
  <r>
    <s v="USR-100530"/>
    <d v="2025-05-20T00:00:00"/>
    <x v="0"/>
    <x v="3"/>
    <x v="1"/>
    <x v="1"/>
    <x v="0"/>
    <x v="0"/>
    <x v="0"/>
    <x v="0"/>
    <x v="0"/>
    <n v="0"/>
    <x v="0"/>
    <x v="0"/>
    <m/>
    <n v="64.3"/>
  </r>
  <r>
    <s v="USR-100531"/>
    <d v="2025-02-11T00:00:00"/>
    <x v="0"/>
    <x v="3"/>
    <x v="1"/>
    <x v="1"/>
    <x v="1"/>
    <x v="0"/>
    <x v="0"/>
    <x v="0"/>
    <x v="0"/>
    <n v="0"/>
    <x v="0"/>
    <x v="0"/>
    <m/>
    <n v="49.1"/>
  </r>
  <r>
    <s v="USR-100532"/>
    <d v="2025-02-13T00:00:00"/>
    <x v="0"/>
    <x v="1"/>
    <x v="1"/>
    <x v="1"/>
    <x v="1"/>
    <x v="1"/>
    <x v="0"/>
    <x v="0"/>
    <x v="0"/>
    <n v="0"/>
    <x v="0"/>
    <x v="0"/>
    <m/>
    <n v="84.3"/>
  </r>
  <r>
    <s v="USR-100533"/>
    <d v="2025-04-07T00:00:00"/>
    <x v="0"/>
    <x v="3"/>
    <x v="1"/>
    <x v="2"/>
    <x v="2"/>
    <x v="1"/>
    <x v="0"/>
    <x v="0"/>
    <x v="0"/>
    <n v="0"/>
    <x v="0"/>
    <x v="0"/>
    <m/>
    <n v="65.599999999999994"/>
  </r>
  <r>
    <s v="USR-100534"/>
    <d v="2025-03-08T00:00:00"/>
    <x v="0"/>
    <x v="2"/>
    <x v="1"/>
    <x v="0"/>
    <x v="1"/>
    <x v="1"/>
    <x v="0"/>
    <x v="0"/>
    <x v="0"/>
    <n v="0"/>
    <x v="0"/>
    <x v="0"/>
    <m/>
    <n v="47.1"/>
  </r>
  <r>
    <s v="USR-100535"/>
    <d v="2025-02-16T00:00:00"/>
    <x v="0"/>
    <x v="0"/>
    <x v="0"/>
    <x v="2"/>
    <x v="1"/>
    <x v="1"/>
    <x v="1"/>
    <x v="1"/>
    <x v="0"/>
    <n v="0"/>
    <x v="0"/>
    <x v="0"/>
    <m/>
    <n v="70"/>
  </r>
  <r>
    <s v="USR-100536"/>
    <d v="2025-04-28T00:00:00"/>
    <x v="0"/>
    <x v="3"/>
    <x v="1"/>
    <x v="2"/>
    <x v="2"/>
    <x v="1"/>
    <x v="0"/>
    <x v="0"/>
    <x v="0"/>
    <n v="0"/>
    <x v="0"/>
    <x v="0"/>
    <m/>
    <n v="54.6"/>
  </r>
  <r>
    <s v="USR-100537"/>
    <d v="2025-03-10T00:00:00"/>
    <x v="0"/>
    <x v="1"/>
    <x v="2"/>
    <x v="4"/>
    <x v="0"/>
    <x v="1"/>
    <x v="1"/>
    <x v="0"/>
    <x v="0"/>
    <n v="0"/>
    <x v="1"/>
    <x v="0"/>
    <m/>
    <n v="65.2"/>
  </r>
  <r>
    <s v="USR-100538"/>
    <d v="2025-01-25T00:00:00"/>
    <x v="0"/>
    <x v="2"/>
    <x v="1"/>
    <x v="4"/>
    <x v="1"/>
    <x v="1"/>
    <x v="0"/>
    <x v="0"/>
    <x v="0"/>
    <n v="0"/>
    <x v="0"/>
    <x v="0"/>
    <m/>
    <n v="65"/>
  </r>
  <r>
    <s v="USR-100539"/>
    <d v="2025-01-11T00:00:00"/>
    <x v="0"/>
    <x v="1"/>
    <x v="1"/>
    <x v="2"/>
    <x v="2"/>
    <x v="1"/>
    <x v="1"/>
    <x v="1"/>
    <x v="0"/>
    <n v="0"/>
    <x v="1"/>
    <x v="0"/>
    <m/>
    <n v="42.1"/>
  </r>
  <r>
    <s v="USR-100540"/>
    <d v="2025-03-31T00:00:00"/>
    <x v="0"/>
    <x v="1"/>
    <x v="2"/>
    <x v="2"/>
    <x v="1"/>
    <x v="1"/>
    <x v="0"/>
    <x v="0"/>
    <x v="0"/>
    <n v="0"/>
    <x v="0"/>
    <x v="0"/>
    <m/>
    <n v="43.4"/>
  </r>
  <r>
    <s v="USR-100433"/>
    <d v="2025-02-03T00:00:00"/>
    <x v="0"/>
    <x v="0"/>
    <x v="2"/>
    <x v="0"/>
    <x v="0"/>
    <x v="1"/>
    <x v="0"/>
    <x v="0"/>
    <x v="0"/>
    <n v="0"/>
    <x v="0"/>
    <x v="0"/>
    <m/>
    <n v="60.9"/>
  </r>
  <r>
    <s v="USR-100542"/>
    <d v="2025-05-16T00:00:00"/>
    <x v="0"/>
    <x v="0"/>
    <x v="1"/>
    <x v="3"/>
    <x v="0"/>
    <x v="0"/>
    <x v="0"/>
    <x v="0"/>
    <x v="0"/>
    <n v="0"/>
    <x v="0"/>
    <x v="0"/>
    <m/>
    <n v="74.099999999999994"/>
  </r>
  <r>
    <s v="USR-100543"/>
    <d v="2025-04-25T00:00:00"/>
    <x v="0"/>
    <x v="2"/>
    <x v="0"/>
    <x v="2"/>
    <x v="1"/>
    <x v="1"/>
    <x v="0"/>
    <x v="0"/>
    <x v="0"/>
    <n v="0"/>
    <x v="0"/>
    <x v="0"/>
    <m/>
    <n v="61.4"/>
  </r>
  <r>
    <s v="USR-100544"/>
    <d v="2025-04-17T00:00:00"/>
    <x v="0"/>
    <x v="2"/>
    <x v="1"/>
    <x v="4"/>
    <x v="2"/>
    <x v="1"/>
    <x v="1"/>
    <x v="1"/>
    <x v="0"/>
    <n v="0"/>
    <x v="0"/>
    <x v="0"/>
    <m/>
    <n v="76.8"/>
  </r>
  <r>
    <s v="USR-100545"/>
    <d v="2025-01-01T00:00:00"/>
    <x v="0"/>
    <x v="3"/>
    <x v="0"/>
    <x v="4"/>
    <x v="0"/>
    <x v="0"/>
    <x v="0"/>
    <x v="0"/>
    <x v="0"/>
    <n v="0"/>
    <x v="0"/>
    <x v="0"/>
    <m/>
    <m/>
  </r>
  <r>
    <s v="USR-100546"/>
    <d v="2025-03-18T00:00:00"/>
    <x v="0"/>
    <x v="2"/>
    <x v="1"/>
    <x v="2"/>
    <x v="0"/>
    <x v="1"/>
    <x v="1"/>
    <x v="1"/>
    <x v="0"/>
    <n v="0"/>
    <x v="0"/>
    <x v="0"/>
    <m/>
    <n v="45.3"/>
  </r>
  <r>
    <s v="USR-100547"/>
    <d v="2025-05-20T00:00:00"/>
    <x v="0"/>
    <x v="0"/>
    <x v="2"/>
    <x v="2"/>
    <x v="1"/>
    <x v="1"/>
    <x v="0"/>
    <x v="0"/>
    <x v="0"/>
    <n v="0"/>
    <x v="0"/>
    <x v="0"/>
    <m/>
    <n v="41.4"/>
  </r>
  <r>
    <s v="USR-100548"/>
    <d v="2025-03-16T00:00:00"/>
    <x v="0"/>
    <x v="0"/>
    <x v="1"/>
    <x v="1"/>
    <x v="0"/>
    <x v="1"/>
    <x v="0"/>
    <x v="0"/>
    <x v="0"/>
    <n v="0"/>
    <x v="0"/>
    <x v="0"/>
    <m/>
    <n v="37.1"/>
  </r>
  <r>
    <s v="USR-100549"/>
    <d v="2025-05-30T00:00:00"/>
    <x v="0"/>
    <x v="2"/>
    <x v="0"/>
    <x v="4"/>
    <x v="1"/>
    <x v="1"/>
    <x v="0"/>
    <x v="0"/>
    <x v="0"/>
    <n v="0"/>
    <x v="0"/>
    <x v="0"/>
    <m/>
    <n v="40.700000000000003"/>
  </r>
  <r>
    <s v="USR-100550"/>
    <d v="2025-02-20T00:00:00"/>
    <x v="0"/>
    <x v="0"/>
    <x v="1"/>
    <x v="4"/>
    <x v="2"/>
    <x v="0"/>
    <x v="0"/>
    <x v="0"/>
    <x v="0"/>
    <n v="0"/>
    <x v="2"/>
    <x v="0"/>
    <m/>
    <n v="55.9"/>
  </r>
  <r>
    <s v="USR-100551"/>
    <d v="2025-02-11T00:00:00"/>
    <x v="0"/>
    <x v="2"/>
    <x v="3"/>
    <x v="4"/>
    <x v="1"/>
    <x v="1"/>
    <x v="1"/>
    <x v="0"/>
    <x v="0"/>
    <n v="0"/>
    <x v="0"/>
    <x v="0"/>
    <m/>
    <n v="55.8"/>
  </r>
  <r>
    <s v="USR-100552"/>
    <d v="2025-01-02T00:00:00"/>
    <x v="0"/>
    <x v="3"/>
    <x v="2"/>
    <x v="3"/>
    <x v="0"/>
    <x v="1"/>
    <x v="0"/>
    <x v="0"/>
    <x v="0"/>
    <n v="0"/>
    <x v="0"/>
    <x v="0"/>
    <m/>
    <n v="64.3"/>
  </r>
  <r>
    <s v="USR-100553"/>
    <d v="2025-05-03T00:00:00"/>
    <x v="0"/>
    <x v="0"/>
    <x v="1"/>
    <x v="1"/>
    <x v="1"/>
    <x v="0"/>
    <x v="0"/>
    <x v="0"/>
    <x v="0"/>
    <n v="0"/>
    <x v="0"/>
    <x v="0"/>
    <m/>
    <n v="65.400000000000006"/>
  </r>
  <r>
    <s v="USR-100554"/>
    <d v="2025-02-24T00:00:00"/>
    <x v="0"/>
    <x v="1"/>
    <x v="1"/>
    <x v="1"/>
    <x v="1"/>
    <x v="1"/>
    <x v="0"/>
    <x v="0"/>
    <x v="0"/>
    <n v="0"/>
    <x v="0"/>
    <x v="0"/>
    <m/>
    <n v="89.8"/>
  </r>
  <r>
    <s v="USR-100555"/>
    <d v="2025-02-11T00:00:00"/>
    <x v="0"/>
    <x v="3"/>
    <x v="3"/>
    <x v="1"/>
    <x v="1"/>
    <x v="1"/>
    <x v="1"/>
    <x v="1"/>
    <x v="0"/>
    <n v="0"/>
    <x v="0"/>
    <x v="0"/>
    <m/>
    <n v="58.3"/>
  </r>
  <r>
    <s v="USR-100556"/>
    <d v="2025-05-06T00:00:00"/>
    <x v="0"/>
    <x v="3"/>
    <x v="1"/>
    <x v="4"/>
    <x v="0"/>
    <x v="1"/>
    <x v="0"/>
    <x v="0"/>
    <x v="0"/>
    <n v="0"/>
    <x v="0"/>
    <x v="0"/>
    <m/>
    <n v="64.400000000000006"/>
  </r>
  <r>
    <s v="USR-100557"/>
    <d v="2025-05-23T00:00:00"/>
    <x v="0"/>
    <x v="0"/>
    <x v="1"/>
    <x v="2"/>
    <x v="2"/>
    <x v="0"/>
    <x v="0"/>
    <x v="0"/>
    <x v="0"/>
    <n v="0"/>
    <x v="0"/>
    <x v="0"/>
    <m/>
    <n v="46.2"/>
  </r>
  <r>
    <s v="USR-100558"/>
    <d v="2025-01-09T00:00:00"/>
    <x v="0"/>
    <x v="0"/>
    <x v="0"/>
    <x v="2"/>
    <x v="1"/>
    <x v="0"/>
    <x v="0"/>
    <x v="0"/>
    <x v="0"/>
    <n v="0"/>
    <x v="0"/>
    <x v="0"/>
    <m/>
    <n v="78"/>
  </r>
  <r>
    <s v="USR-100559"/>
    <d v="2025-04-01T00:00:00"/>
    <x v="0"/>
    <x v="0"/>
    <x v="0"/>
    <x v="1"/>
    <x v="2"/>
    <x v="1"/>
    <x v="0"/>
    <x v="0"/>
    <x v="0"/>
    <n v="0"/>
    <x v="0"/>
    <x v="0"/>
    <m/>
    <n v="62.3"/>
  </r>
  <r>
    <s v="USR-100560"/>
    <d v="2025-03-08T00:00:00"/>
    <x v="0"/>
    <x v="0"/>
    <x v="1"/>
    <x v="1"/>
    <x v="1"/>
    <x v="1"/>
    <x v="0"/>
    <x v="0"/>
    <x v="0"/>
    <n v="0"/>
    <x v="0"/>
    <x v="0"/>
    <m/>
    <n v="78.8"/>
  </r>
  <r>
    <s v="USR-100561"/>
    <d v="2025-02-20T00:00:00"/>
    <x v="0"/>
    <x v="0"/>
    <x v="1"/>
    <x v="4"/>
    <x v="0"/>
    <x v="1"/>
    <x v="0"/>
    <x v="0"/>
    <x v="0"/>
    <n v="0"/>
    <x v="0"/>
    <x v="0"/>
    <m/>
    <n v="25"/>
  </r>
  <r>
    <s v="USR-100562"/>
    <d v="2025-03-30T00:00:00"/>
    <x v="0"/>
    <x v="2"/>
    <x v="1"/>
    <x v="4"/>
    <x v="0"/>
    <x v="0"/>
    <x v="0"/>
    <x v="0"/>
    <x v="0"/>
    <n v="0"/>
    <x v="0"/>
    <x v="0"/>
    <m/>
    <n v="53.4"/>
  </r>
  <r>
    <s v="USR-100563"/>
    <d v="2025-04-10T00:00:00"/>
    <x v="0"/>
    <x v="2"/>
    <x v="0"/>
    <x v="1"/>
    <x v="0"/>
    <x v="0"/>
    <x v="0"/>
    <x v="0"/>
    <x v="0"/>
    <n v="0"/>
    <x v="0"/>
    <x v="0"/>
    <m/>
    <n v="40.700000000000003"/>
  </r>
  <r>
    <s v="USR-100564"/>
    <d v="2025-03-24T00:00:00"/>
    <x v="0"/>
    <x v="2"/>
    <x v="1"/>
    <x v="1"/>
    <x v="2"/>
    <x v="1"/>
    <x v="1"/>
    <x v="0"/>
    <x v="0"/>
    <n v="0"/>
    <x v="0"/>
    <x v="0"/>
    <m/>
    <n v="36.700000000000003"/>
  </r>
  <r>
    <s v="USR-100565"/>
    <d v="2025-05-21T00:00:00"/>
    <x v="0"/>
    <x v="1"/>
    <x v="1"/>
    <x v="1"/>
    <x v="0"/>
    <x v="1"/>
    <x v="0"/>
    <x v="0"/>
    <x v="0"/>
    <n v="0"/>
    <x v="1"/>
    <x v="0"/>
    <m/>
    <n v="67.5"/>
  </r>
  <r>
    <s v="USR-100566"/>
    <d v="2025-03-29T00:00:00"/>
    <x v="0"/>
    <x v="2"/>
    <x v="1"/>
    <x v="4"/>
    <x v="2"/>
    <x v="1"/>
    <x v="1"/>
    <x v="1"/>
    <x v="0"/>
    <n v="0"/>
    <x v="0"/>
    <x v="0"/>
    <m/>
    <n v="69.900000000000006"/>
  </r>
  <r>
    <s v="USR-100567"/>
    <d v="2025-02-23T00:00:00"/>
    <x v="0"/>
    <x v="0"/>
    <x v="2"/>
    <x v="3"/>
    <x v="0"/>
    <x v="1"/>
    <x v="0"/>
    <x v="0"/>
    <x v="0"/>
    <n v="0"/>
    <x v="0"/>
    <x v="0"/>
    <m/>
    <n v="65.099999999999994"/>
  </r>
  <r>
    <s v="USR-100568"/>
    <d v="2025-02-16T00:00:00"/>
    <x v="0"/>
    <x v="1"/>
    <x v="1"/>
    <x v="2"/>
    <x v="2"/>
    <x v="1"/>
    <x v="0"/>
    <x v="0"/>
    <x v="0"/>
    <n v="0"/>
    <x v="0"/>
    <x v="0"/>
    <m/>
    <n v="48.7"/>
  </r>
  <r>
    <s v="USR-100569"/>
    <d v="2025-02-21T00:00:00"/>
    <x v="0"/>
    <x v="1"/>
    <x v="0"/>
    <x v="1"/>
    <x v="0"/>
    <x v="1"/>
    <x v="1"/>
    <x v="0"/>
    <x v="0"/>
    <n v="0"/>
    <x v="0"/>
    <x v="0"/>
    <m/>
    <n v="47.2"/>
  </r>
  <r>
    <s v="USR-100570"/>
    <d v="2025-01-07T00:00:00"/>
    <x v="0"/>
    <x v="0"/>
    <x v="1"/>
    <x v="3"/>
    <x v="1"/>
    <x v="1"/>
    <x v="0"/>
    <x v="0"/>
    <x v="0"/>
    <n v="0"/>
    <x v="2"/>
    <x v="0"/>
    <m/>
    <n v="20.3"/>
  </r>
  <r>
    <s v="USR-100571"/>
    <d v="2025-03-06T00:00:00"/>
    <x v="0"/>
    <x v="1"/>
    <x v="1"/>
    <x v="2"/>
    <x v="1"/>
    <x v="0"/>
    <x v="0"/>
    <x v="0"/>
    <x v="0"/>
    <n v="0"/>
    <x v="1"/>
    <x v="0"/>
    <m/>
    <n v="57.8"/>
  </r>
  <r>
    <s v="USR-100572"/>
    <d v="2025-03-30T00:00:00"/>
    <x v="0"/>
    <x v="2"/>
    <x v="1"/>
    <x v="0"/>
    <x v="0"/>
    <x v="1"/>
    <x v="0"/>
    <x v="0"/>
    <x v="0"/>
    <n v="0"/>
    <x v="0"/>
    <x v="0"/>
    <m/>
    <n v="78.7"/>
  </r>
  <r>
    <s v="USR-100573"/>
    <d v="2025-05-31T00:00:00"/>
    <x v="0"/>
    <x v="3"/>
    <x v="0"/>
    <x v="1"/>
    <x v="1"/>
    <x v="1"/>
    <x v="0"/>
    <x v="0"/>
    <x v="0"/>
    <n v="0"/>
    <x v="0"/>
    <x v="0"/>
    <m/>
    <n v="63.6"/>
  </r>
  <r>
    <s v="USR-100574"/>
    <d v="2025-02-20T00:00:00"/>
    <x v="0"/>
    <x v="3"/>
    <x v="1"/>
    <x v="0"/>
    <x v="1"/>
    <x v="0"/>
    <x v="0"/>
    <x v="0"/>
    <x v="0"/>
    <n v="0"/>
    <x v="2"/>
    <x v="0"/>
    <m/>
    <n v="45.1"/>
  </r>
  <r>
    <s v="USR-100575"/>
    <d v="2025-01-13T00:00:00"/>
    <x v="0"/>
    <x v="1"/>
    <x v="1"/>
    <x v="4"/>
    <x v="1"/>
    <x v="0"/>
    <x v="0"/>
    <x v="0"/>
    <x v="0"/>
    <n v="0"/>
    <x v="0"/>
    <x v="0"/>
    <m/>
    <n v="77.5"/>
  </r>
  <r>
    <s v="USR-100576"/>
    <d v="2025-05-13T00:00:00"/>
    <x v="0"/>
    <x v="2"/>
    <x v="0"/>
    <x v="2"/>
    <x v="0"/>
    <x v="1"/>
    <x v="1"/>
    <x v="0"/>
    <x v="0"/>
    <n v="0"/>
    <x v="0"/>
    <x v="0"/>
    <m/>
    <n v="58"/>
  </r>
  <r>
    <s v="USR-100577"/>
    <d v="2025-04-21T00:00:00"/>
    <x v="0"/>
    <x v="3"/>
    <x v="2"/>
    <x v="1"/>
    <x v="1"/>
    <x v="1"/>
    <x v="0"/>
    <x v="0"/>
    <x v="0"/>
    <n v="0"/>
    <x v="0"/>
    <x v="0"/>
    <m/>
    <n v="68.099999999999994"/>
  </r>
  <r>
    <s v="USR-100578"/>
    <d v="2025-03-01T00:00:00"/>
    <x v="0"/>
    <x v="2"/>
    <x v="2"/>
    <x v="1"/>
    <x v="2"/>
    <x v="1"/>
    <x v="0"/>
    <x v="0"/>
    <x v="0"/>
    <n v="0"/>
    <x v="0"/>
    <x v="0"/>
    <m/>
    <n v="35.4"/>
  </r>
  <r>
    <s v="USR-100579"/>
    <d v="2025-03-10T00:00:00"/>
    <x v="0"/>
    <x v="1"/>
    <x v="2"/>
    <x v="1"/>
    <x v="1"/>
    <x v="0"/>
    <x v="0"/>
    <x v="0"/>
    <x v="0"/>
    <n v="0"/>
    <x v="0"/>
    <x v="0"/>
    <m/>
    <n v="47"/>
  </r>
  <r>
    <s v="USR-100580"/>
    <d v="2025-03-08T00:00:00"/>
    <x v="0"/>
    <x v="2"/>
    <x v="0"/>
    <x v="2"/>
    <x v="1"/>
    <x v="0"/>
    <x v="0"/>
    <x v="0"/>
    <x v="0"/>
    <n v="0"/>
    <x v="0"/>
    <x v="0"/>
    <m/>
    <n v="75"/>
  </r>
  <r>
    <s v="USR-100581"/>
    <d v="2025-05-26T00:00:00"/>
    <x v="0"/>
    <x v="3"/>
    <x v="0"/>
    <x v="2"/>
    <x v="1"/>
    <x v="1"/>
    <x v="1"/>
    <x v="1"/>
    <x v="0"/>
    <n v="0"/>
    <x v="3"/>
    <x v="0"/>
    <m/>
    <n v="50.2"/>
  </r>
  <r>
    <s v="USR-100582"/>
    <d v="2025-05-20T00:00:00"/>
    <x v="0"/>
    <x v="2"/>
    <x v="0"/>
    <x v="2"/>
    <x v="1"/>
    <x v="1"/>
    <x v="0"/>
    <x v="0"/>
    <x v="0"/>
    <n v="0"/>
    <x v="0"/>
    <x v="0"/>
    <m/>
    <n v="40.1"/>
  </r>
  <r>
    <s v="USR-100583"/>
    <d v="2025-03-22T00:00:00"/>
    <x v="0"/>
    <x v="1"/>
    <x v="0"/>
    <x v="2"/>
    <x v="1"/>
    <x v="0"/>
    <x v="0"/>
    <x v="0"/>
    <x v="0"/>
    <n v="0"/>
    <x v="0"/>
    <x v="0"/>
    <m/>
    <n v="61.1"/>
  </r>
  <r>
    <s v="USR-100584"/>
    <d v="2025-02-15T00:00:00"/>
    <x v="0"/>
    <x v="3"/>
    <x v="0"/>
    <x v="2"/>
    <x v="1"/>
    <x v="0"/>
    <x v="0"/>
    <x v="0"/>
    <x v="0"/>
    <n v="0"/>
    <x v="0"/>
    <x v="0"/>
    <m/>
    <n v="42.4"/>
  </r>
  <r>
    <s v="USR-100585"/>
    <d v="2025-01-08T00:00:00"/>
    <x v="0"/>
    <x v="0"/>
    <x v="1"/>
    <x v="4"/>
    <x v="1"/>
    <x v="0"/>
    <x v="0"/>
    <x v="0"/>
    <x v="0"/>
    <n v="0"/>
    <x v="1"/>
    <x v="0"/>
    <m/>
    <n v="46.6"/>
  </r>
  <r>
    <s v="USR-100586"/>
    <d v="2025-01-29T00:00:00"/>
    <x v="0"/>
    <x v="3"/>
    <x v="1"/>
    <x v="1"/>
    <x v="2"/>
    <x v="1"/>
    <x v="1"/>
    <x v="0"/>
    <x v="0"/>
    <n v="0"/>
    <x v="0"/>
    <x v="0"/>
    <m/>
    <n v="72.099999999999994"/>
  </r>
  <r>
    <s v="USR-100587"/>
    <d v="2025-05-07T00:00:00"/>
    <x v="0"/>
    <x v="2"/>
    <x v="2"/>
    <x v="1"/>
    <x v="1"/>
    <x v="0"/>
    <x v="0"/>
    <x v="0"/>
    <x v="0"/>
    <n v="0"/>
    <x v="0"/>
    <x v="0"/>
    <m/>
    <n v="21.5"/>
  </r>
  <r>
    <s v="USR-100588"/>
    <d v="2025-03-01T00:00:00"/>
    <x v="0"/>
    <x v="0"/>
    <x v="1"/>
    <x v="4"/>
    <x v="0"/>
    <x v="1"/>
    <x v="0"/>
    <x v="0"/>
    <x v="0"/>
    <n v="0"/>
    <x v="1"/>
    <x v="0"/>
    <m/>
    <n v="65.400000000000006"/>
  </r>
  <r>
    <s v="USR-100589"/>
    <d v="2025-04-20T00:00:00"/>
    <x v="0"/>
    <x v="2"/>
    <x v="1"/>
    <x v="1"/>
    <x v="1"/>
    <x v="1"/>
    <x v="1"/>
    <x v="0"/>
    <x v="0"/>
    <n v="0"/>
    <x v="0"/>
    <x v="0"/>
    <m/>
    <n v="53.3"/>
  </r>
  <r>
    <s v="USR-100590"/>
    <d v="2025-01-16T00:00:00"/>
    <x v="0"/>
    <x v="2"/>
    <x v="1"/>
    <x v="1"/>
    <x v="2"/>
    <x v="0"/>
    <x v="0"/>
    <x v="0"/>
    <x v="0"/>
    <n v="0"/>
    <x v="2"/>
    <x v="0"/>
    <m/>
    <n v="52.3"/>
  </r>
  <r>
    <s v="USR-100591"/>
    <d v="2025-04-04T00:00:00"/>
    <x v="0"/>
    <x v="2"/>
    <x v="1"/>
    <x v="2"/>
    <x v="1"/>
    <x v="1"/>
    <x v="0"/>
    <x v="0"/>
    <x v="0"/>
    <n v="0"/>
    <x v="0"/>
    <x v="0"/>
    <m/>
    <n v="62.5"/>
  </r>
  <r>
    <s v="USR-100592"/>
    <d v="2025-01-29T00:00:00"/>
    <x v="0"/>
    <x v="0"/>
    <x v="2"/>
    <x v="4"/>
    <x v="1"/>
    <x v="1"/>
    <x v="0"/>
    <x v="0"/>
    <x v="0"/>
    <n v="0"/>
    <x v="0"/>
    <x v="0"/>
    <m/>
    <n v="69.8"/>
  </r>
  <r>
    <s v="USR-100593"/>
    <d v="2025-04-19T00:00:00"/>
    <x v="0"/>
    <x v="2"/>
    <x v="1"/>
    <x v="0"/>
    <x v="1"/>
    <x v="1"/>
    <x v="0"/>
    <x v="0"/>
    <x v="0"/>
    <n v="0"/>
    <x v="0"/>
    <x v="0"/>
    <m/>
    <n v="68.2"/>
  </r>
  <r>
    <s v="USR-100594"/>
    <d v="2025-03-10T00:00:00"/>
    <x v="0"/>
    <x v="3"/>
    <x v="1"/>
    <x v="4"/>
    <x v="0"/>
    <x v="1"/>
    <x v="1"/>
    <x v="1"/>
    <x v="1"/>
    <n v="751.73"/>
    <x v="0"/>
    <x v="0"/>
    <n v="6"/>
    <n v="35.200000000000003"/>
  </r>
  <r>
    <s v="USR-100595"/>
    <d v="2025-05-10T00:00:00"/>
    <x v="0"/>
    <x v="3"/>
    <x v="1"/>
    <x v="4"/>
    <x v="0"/>
    <x v="0"/>
    <x v="0"/>
    <x v="0"/>
    <x v="0"/>
    <n v="0"/>
    <x v="0"/>
    <x v="0"/>
    <m/>
    <n v="59.3"/>
  </r>
  <r>
    <s v="USR-100596"/>
    <d v="2025-02-02T00:00:00"/>
    <x v="0"/>
    <x v="0"/>
    <x v="1"/>
    <x v="4"/>
    <x v="1"/>
    <x v="0"/>
    <x v="0"/>
    <x v="0"/>
    <x v="0"/>
    <n v="0"/>
    <x v="0"/>
    <x v="0"/>
    <m/>
    <n v="68.099999999999994"/>
  </r>
  <r>
    <s v="USR-100597"/>
    <d v="2025-05-06T00:00:00"/>
    <x v="0"/>
    <x v="0"/>
    <x v="0"/>
    <x v="1"/>
    <x v="1"/>
    <x v="1"/>
    <x v="1"/>
    <x v="0"/>
    <x v="0"/>
    <n v="0"/>
    <x v="0"/>
    <x v="0"/>
    <m/>
    <n v="74.8"/>
  </r>
  <r>
    <s v="USR-100598"/>
    <d v="2025-01-19T00:00:00"/>
    <x v="0"/>
    <x v="1"/>
    <x v="0"/>
    <x v="1"/>
    <x v="1"/>
    <x v="1"/>
    <x v="1"/>
    <x v="1"/>
    <x v="0"/>
    <n v="0"/>
    <x v="0"/>
    <x v="0"/>
    <m/>
    <n v="61.7"/>
  </r>
  <r>
    <s v="USR-100599"/>
    <d v="2025-01-02T00:00:00"/>
    <x v="0"/>
    <x v="0"/>
    <x v="1"/>
    <x v="1"/>
    <x v="1"/>
    <x v="1"/>
    <x v="0"/>
    <x v="0"/>
    <x v="0"/>
    <n v="0"/>
    <x v="0"/>
    <x v="0"/>
    <m/>
    <n v="24.3"/>
  </r>
  <r>
    <s v="USR-100600"/>
    <d v="2025-05-03T00:00:00"/>
    <x v="0"/>
    <x v="3"/>
    <x v="0"/>
    <x v="2"/>
    <x v="1"/>
    <x v="0"/>
    <x v="0"/>
    <x v="0"/>
    <x v="0"/>
    <n v="0"/>
    <x v="1"/>
    <x v="0"/>
    <m/>
    <n v="61.9"/>
  </r>
  <r>
    <s v="USR-100601"/>
    <d v="2025-05-27T00:00:00"/>
    <x v="0"/>
    <x v="2"/>
    <x v="0"/>
    <x v="3"/>
    <x v="2"/>
    <x v="0"/>
    <x v="0"/>
    <x v="0"/>
    <x v="0"/>
    <n v="0"/>
    <x v="2"/>
    <x v="0"/>
    <m/>
    <n v="41.7"/>
  </r>
  <r>
    <s v="USR-100602"/>
    <d v="2025-02-09T00:00:00"/>
    <x v="0"/>
    <x v="3"/>
    <x v="0"/>
    <x v="4"/>
    <x v="1"/>
    <x v="1"/>
    <x v="0"/>
    <x v="0"/>
    <x v="0"/>
    <n v="0"/>
    <x v="0"/>
    <x v="0"/>
    <m/>
    <n v="87.6"/>
  </r>
  <r>
    <s v="USR-100603"/>
    <d v="2025-05-18T00:00:00"/>
    <x v="0"/>
    <x v="2"/>
    <x v="1"/>
    <x v="2"/>
    <x v="1"/>
    <x v="1"/>
    <x v="0"/>
    <x v="0"/>
    <x v="0"/>
    <n v="0"/>
    <x v="0"/>
    <x v="0"/>
    <m/>
    <n v="30.8"/>
  </r>
  <r>
    <s v="USR-100604"/>
    <d v="2025-05-17T00:00:00"/>
    <x v="0"/>
    <x v="0"/>
    <x v="1"/>
    <x v="0"/>
    <x v="1"/>
    <x v="0"/>
    <x v="0"/>
    <x v="0"/>
    <x v="0"/>
    <n v="0"/>
    <x v="0"/>
    <x v="0"/>
    <m/>
    <n v="54"/>
  </r>
  <r>
    <s v="USR-100605"/>
    <d v="2025-01-25T00:00:00"/>
    <x v="0"/>
    <x v="2"/>
    <x v="0"/>
    <x v="3"/>
    <x v="0"/>
    <x v="1"/>
    <x v="0"/>
    <x v="0"/>
    <x v="0"/>
    <n v="0"/>
    <x v="1"/>
    <x v="0"/>
    <m/>
    <n v="54.5"/>
  </r>
  <r>
    <s v="USR-100606"/>
    <d v="2025-05-04T00:00:00"/>
    <x v="0"/>
    <x v="1"/>
    <x v="1"/>
    <x v="2"/>
    <x v="2"/>
    <x v="1"/>
    <x v="1"/>
    <x v="0"/>
    <x v="0"/>
    <n v="0"/>
    <x v="0"/>
    <x v="0"/>
    <m/>
    <n v="61.3"/>
  </r>
  <r>
    <s v="USR-100607"/>
    <d v="2025-04-14T00:00:00"/>
    <x v="0"/>
    <x v="1"/>
    <x v="1"/>
    <x v="1"/>
    <x v="1"/>
    <x v="1"/>
    <x v="0"/>
    <x v="0"/>
    <x v="0"/>
    <n v="0"/>
    <x v="0"/>
    <x v="0"/>
    <m/>
    <n v="62.7"/>
  </r>
  <r>
    <s v="USR-100608"/>
    <d v="2025-04-18T00:00:00"/>
    <x v="0"/>
    <x v="3"/>
    <x v="1"/>
    <x v="2"/>
    <x v="1"/>
    <x v="1"/>
    <x v="1"/>
    <x v="0"/>
    <x v="0"/>
    <n v="0"/>
    <x v="0"/>
    <x v="0"/>
    <m/>
    <n v="43.1"/>
  </r>
  <r>
    <s v="USR-100609"/>
    <d v="2025-02-24T00:00:00"/>
    <x v="0"/>
    <x v="3"/>
    <x v="0"/>
    <x v="0"/>
    <x v="0"/>
    <x v="0"/>
    <x v="0"/>
    <x v="0"/>
    <x v="0"/>
    <n v="0"/>
    <x v="0"/>
    <x v="0"/>
    <m/>
    <n v="59.9"/>
  </r>
  <r>
    <s v="USR-100610"/>
    <d v="2025-04-19T00:00:00"/>
    <x v="0"/>
    <x v="0"/>
    <x v="2"/>
    <x v="2"/>
    <x v="1"/>
    <x v="1"/>
    <x v="1"/>
    <x v="1"/>
    <x v="0"/>
    <n v="0"/>
    <x v="0"/>
    <x v="0"/>
    <m/>
    <n v="55.7"/>
  </r>
  <r>
    <s v="USR-100611"/>
    <d v="2025-03-07T00:00:00"/>
    <x v="0"/>
    <x v="3"/>
    <x v="0"/>
    <x v="1"/>
    <x v="0"/>
    <x v="1"/>
    <x v="0"/>
    <x v="0"/>
    <x v="0"/>
    <n v="0"/>
    <x v="0"/>
    <x v="0"/>
    <m/>
    <n v="37.1"/>
  </r>
  <r>
    <s v="USR-100612"/>
    <d v="2025-03-09T00:00:00"/>
    <x v="0"/>
    <x v="2"/>
    <x v="1"/>
    <x v="1"/>
    <x v="0"/>
    <x v="0"/>
    <x v="0"/>
    <x v="0"/>
    <x v="0"/>
    <n v="0"/>
    <x v="1"/>
    <x v="0"/>
    <m/>
    <n v="46.7"/>
  </r>
  <r>
    <s v="USR-100613"/>
    <d v="2025-05-01T00:00:00"/>
    <x v="0"/>
    <x v="3"/>
    <x v="0"/>
    <x v="1"/>
    <x v="0"/>
    <x v="1"/>
    <x v="0"/>
    <x v="0"/>
    <x v="0"/>
    <n v="0"/>
    <x v="0"/>
    <x v="0"/>
    <m/>
    <n v="54.1"/>
  </r>
  <r>
    <s v="USR-100614"/>
    <d v="2025-02-09T00:00:00"/>
    <x v="0"/>
    <x v="1"/>
    <x v="0"/>
    <x v="1"/>
    <x v="2"/>
    <x v="1"/>
    <x v="1"/>
    <x v="1"/>
    <x v="0"/>
    <n v="0"/>
    <x v="0"/>
    <x v="0"/>
    <m/>
    <n v="56.1"/>
  </r>
  <r>
    <s v="USR-100615"/>
    <d v="2025-05-22T00:00:00"/>
    <x v="0"/>
    <x v="1"/>
    <x v="1"/>
    <x v="3"/>
    <x v="2"/>
    <x v="0"/>
    <x v="0"/>
    <x v="0"/>
    <x v="0"/>
    <n v="0"/>
    <x v="0"/>
    <x v="0"/>
    <m/>
    <n v="23.6"/>
  </r>
  <r>
    <s v="USR-100616"/>
    <d v="2025-02-11T00:00:00"/>
    <x v="0"/>
    <x v="0"/>
    <x v="1"/>
    <x v="1"/>
    <x v="2"/>
    <x v="0"/>
    <x v="0"/>
    <x v="0"/>
    <x v="0"/>
    <n v="0"/>
    <x v="0"/>
    <x v="0"/>
    <m/>
    <n v="54.7"/>
  </r>
  <r>
    <s v="USR-100617"/>
    <d v="2025-04-12T00:00:00"/>
    <x v="0"/>
    <x v="0"/>
    <x v="1"/>
    <x v="3"/>
    <x v="0"/>
    <x v="0"/>
    <x v="0"/>
    <x v="0"/>
    <x v="0"/>
    <n v="0"/>
    <x v="2"/>
    <x v="0"/>
    <m/>
    <n v="50.4"/>
  </r>
  <r>
    <s v="USR-100618"/>
    <d v="2025-03-01T00:00:00"/>
    <x v="0"/>
    <x v="1"/>
    <x v="1"/>
    <x v="4"/>
    <x v="1"/>
    <x v="1"/>
    <x v="0"/>
    <x v="0"/>
    <x v="0"/>
    <n v="0"/>
    <x v="0"/>
    <x v="0"/>
    <m/>
    <n v="54.5"/>
  </r>
  <r>
    <s v="USR-100619"/>
    <d v="2025-03-17T00:00:00"/>
    <x v="0"/>
    <x v="1"/>
    <x v="0"/>
    <x v="0"/>
    <x v="0"/>
    <x v="0"/>
    <x v="0"/>
    <x v="0"/>
    <x v="0"/>
    <n v="0"/>
    <x v="0"/>
    <x v="0"/>
    <m/>
    <n v="58"/>
  </r>
  <r>
    <s v="USR-100620"/>
    <d v="2025-01-11T00:00:00"/>
    <x v="0"/>
    <x v="0"/>
    <x v="1"/>
    <x v="2"/>
    <x v="1"/>
    <x v="0"/>
    <x v="0"/>
    <x v="0"/>
    <x v="0"/>
    <n v="0"/>
    <x v="0"/>
    <x v="0"/>
    <m/>
    <n v="42.9"/>
  </r>
  <r>
    <s v="USR-100621"/>
    <d v="2025-02-17T00:00:00"/>
    <x v="0"/>
    <x v="3"/>
    <x v="1"/>
    <x v="4"/>
    <x v="2"/>
    <x v="1"/>
    <x v="0"/>
    <x v="0"/>
    <x v="0"/>
    <n v="0"/>
    <x v="0"/>
    <x v="0"/>
    <m/>
    <n v="51.1"/>
  </r>
  <r>
    <s v="USR-100622"/>
    <d v="2025-03-25T00:00:00"/>
    <x v="0"/>
    <x v="2"/>
    <x v="1"/>
    <x v="2"/>
    <x v="0"/>
    <x v="1"/>
    <x v="1"/>
    <x v="0"/>
    <x v="0"/>
    <n v="0"/>
    <x v="0"/>
    <x v="0"/>
    <m/>
    <n v="51.8"/>
  </r>
  <r>
    <s v="USR-100623"/>
    <d v="2025-05-01T00:00:00"/>
    <x v="0"/>
    <x v="3"/>
    <x v="1"/>
    <x v="2"/>
    <x v="1"/>
    <x v="0"/>
    <x v="0"/>
    <x v="0"/>
    <x v="0"/>
    <n v="0"/>
    <x v="0"/>
    <x v="0"/>
    <m/>
    <n v="67.7"/>
  </r>
  <r>
    <s v="USR-100624"/>
    <d v="2025-04-02T00:00:00"/>
    <x v="0"/>
    <x v="2"/>
    <x v="1"/>
    <x v="1"/>
    <x v="0"/>
    <x v="0"/>
    <x v="0"/>
    <x v="0"/>
    <x v="0"/>
    <n v="0"/>
    <x v="0"/>
    <x v="0"/>
    <m/>
    <n v="75.8"/>
  </r>
  <r>
    <s v="USR-100625"/>
    <d v="2025-04-05T00:00:00"/>
    <x v="0"/>
    <x v="2"/>
    <x v="1"/>
    <x v="0"/>
    <x v="1"/>
    <x v="1"/>
    <x v="1"/>
    <x v="0"/>
    <x v="0"/>
    <n v="0"/>
    <x v="0"/>
    <x v="0"/>
    <m/>
    <n v="72.8"/>
  </r>
  <r>
    <s v="USR-100626"/>
    <d v="2025-02-24T00:00:00"/>
    <x v="0"/>
    <x v="0"/>
    <x v="0"/>
    <x v="4"/>
    <x v="1"/>
    <x v="1"/>
    <x v="1"/>
    <x v="0"/>
    <x v="0"/>
    <n v="0"/>
    <x v="0"/>
    <x v="0"/>
    <m/>
    <n v="54.4"/>
  </r>
  <r>
    <s v="USR-100627"/>
    <d v="2025-01-24T00:00:00"/>
    <x v="0"/>
    <x v="1"/>
    <x v="1"/>
    <x v="2"/>
    <x v="0"/>
    <x v="1"/>
    <x v="0"/>
    <x v="0"/>
    <x v="0"/>
    <n v="0"/>
    <x v="0"/>
    <x v="0"/>
    <m/>
    <n v="51.8"/>
  </r>
  <r>
    <s v="USR-100628"/>
    <d v="2025-04-10T00:00:00"/>
    <x v="0"/>
    <x v="3"/>
    <x v="1"/>
    <x v="2"/>
    <x v="1"/>
    <x v="0"/>
    <x v="0"/>
    <x v="0"/>
    <x v="0"/>
    <n v="0"/>
    <x v="0"/>
    <x v="0"/>
    <m/>
    <n v="40.299999999999997"/>
  </r>
  <r>
    <s v="USR-100629"/>
    <d v="2025-02-19T00:00:00"/>
    <x v="0"/>
    <x v="3"/>
    <x v="1"/>
    <x v="3"/>
    <x v="1"/>
    <x v="1"/>
    <x v="1"/>
    <x v="1"/>
    <x v="0"/>
    <n v="0"/>
    <x v="0"/>
    <x v="0"/>
    <m/>
    <n v="61.7"/>
  </r>
  <r>
    <s v="USR-100630"/>
    <d v="2025-03-22T00:00:00"/>
    <x v="0"/>
    <x v="0"/>
    <x v="1"/>
    <x v="4"/>
    <x v="1"/>
    <x v="0"/>
    <x v="0"/>
    <x v="0"/>
    <x v="0"/>
    <n v="0"/>
    <x v="0"/>
    <x v="0"/>
    <m/>
    <n v="45"/>
  </r>
  <r>
    <s v="USR-100631"/>
    <d v="2025-04-08T00:00:00"/>
    <x v="0"/>
    <x v="2"/>
    <x v="0"/>
    <x v="1"/>
    <x v="2"/>
    <x v="1"/>
    <x v="1"/>
    <x v="1"/>
    <x v="0"/>
    <n v="0"/>
    <x v="0"/>
    <x v="0"/>
    <m/>
    <n v="60"/>
  </r>
  <r>
    <s v="USR-100632"/>
    <d v="2025-03-16T00:00:00"/>
    <x v="0"/>
    <x v="0"/>
    <x v="1"/>
    <x v="4"/>
    <x v="1"/>
    <x v="1"/>
    <x v="0"/>
    <x v="0"/>
    <x v="0"/>
    <n v="0"/>
    <x v="0"/>
    <x v="0"/>
    <m/>
    <m/>
  </r>
  <r>
    <s v="USR-100633"/>
    <d v="2025-03-07T00:00:00"/>
    <x v="0"/>
    <x v="2"/>
    <x v="1"/>
    <x v="2"/>
    <x v="1"/>
    <x v="1"/>
    <x v="0"/>
    <x v="0"/>
    <x v="0"/>
    <n v="0"/>
    <x v="0"/>
    <x v="0"/>
    <m/>
    <n v="55.5"/>
  </r>
  <r>
    <s v="USR-100634"/>
    <d v="2025-03-16T00:00:00"/>
    <x v="0"/>
    <x v="3"/>
    <x v="1"/>
    <x v="3"/>
    <x v="0"/>
    <x v="0"/>
    <x v="0"/>
    <x v="0"/>
    <x v="0"/>
    <n v="0"/>
    <x v="0"/>
    <x v="0"/>
    <m/>
    <n v="51.8"/>
  </r>
  <r>
    <s v="USR-100635"/>
    <d v="2025-05-26T00:00:00"/>
    <x v="0"/>
    <x v="2"/>
    <x v="1"/>
    <x v="5"/>
    <x v="2"/>
    <x v="1"/>
    <x v="0"/>
    <x v="0"/>
    <x v="0"/>
    <n v="0"/>
    <x v="3"/>
    <x v="0"/>
    <m/>
    <n v="56"/>
  </r>
  <r>
    <s v="USR-100636"/>
    <d v="2025-01-14T00:00:00"/>
    <x v="0"/>
    <x v="1"/>
    <x v="1"/>
    <x v="1"/>
    <x v="1"/>
    <x v="0"/>
    <x v="0"/>
    <x v="0"/>
    <x v="0"/>
    <n v="0"/>
    <x v="0"/>
    <x v="0"/>
    <m/>
    <n v="52.5"/>
  </r>
  <r>
    <s v="USR-100637"/>
    <d v="2025-03-30T00:00:00"/>
    <x v="0"/>
    <x v="1"/>
    <x v="1"/>
    <x v="2"/>
    <x v="2"/>
    <x v="1"/>
    <x v="0"/>
    <x v="0"/>
    <x v="0"/>
    <n v="0"/>
    <x v="0"/>
    <x v="0"/>
    <m/>
    <n v="42.5"/>
  </r>
  <r>
    <s v="USR-100638"/>
    <d v="2025-05-12T00:00:00"/>
    <x v="0"/>
    <x v="2"/>
    <x v="0"/>
    <x v="0"/>
    <x v="1"/>
    <x v="1"/>
    <x v="1"/>
    <x v="1"/>
    <x v="0"/>
    <n v="0"/>
    <x v="0"/>
    <x v="0"/>
    <m/>
    <n v="65.3"/>
  </r>
  <r>
    <s v="USR-100639"/>
    <d v="2025-05-10T00:00:00"/>
    <x v="0"/>
    <x v="1"/>
    <x v="1"/>
    <x v="2"/>
    <x v="1"/>
    <x v="0"/>
    <x v="0"/>
    <x v="0"/>
    <x v="0"/>
    <n v="0"/>
    <x v="0"/>
    <x v="0"/>
    <m/>
    <n v="37.6"/>
  </r>
  <r>
    <s v="USR-100640"/>
    <d v="2025-04-09T00:00:00"/>
    <x v="0"/>
    <x v="2"/>
    <x v="1"/>
    <x v="4"/>
    <x v="0"/>
    <x v="0"/>
    <x v="0"/>
    <x v="0"/>
    <x v="0"/>
    <n v="0"/>
    <x v="0"/>
    <x v="0"/>
    <m/>
    <n v="57.8"/>
  </r>
  <r>
    <s v="USR-100641"/>
    <d v="2025-05-26T00:00:00"/>
    <x v="0"/>
    <x v="0"/>
    <x v="1"/>
    <x v="4"/>
    <x v="1"/>
    <x v="1"/>
    <x v="0"/>
    <x v="0"/>
    <x v="0"/>
    <n v="0"/>
    <x v="0"/>
    <x v="0"/>
    <m/>
    <n v="52.7"/>
  </r>
  <r>
    <s v="USR-100642"/>
    <d v="2025-02-12T00:00:00"/>
    <x v="0"/>
    <x v="0"/>
    <x v="1"/>
    <x v="1"/>
    <x v="1"/>
    <x v="1"/>
    <x v="0"/>
    <x v="0"/>
    <x v="0"/>
    <n v="0"/>
    <x v="0"/>
    <x v="0"/>
    <m/>
    <n v="51.7"/>
  </r>
  <r>
    <s v="USR-100643"/>
    <d v="2025-04-01T00:00:00"/>
    <x v="0"/>
    <x v="0"/>
    <x v="0"/>
    <x v="0"/>
    <x v="0"/>
    <x v="0"/>
    <x v="0"/>
    <x v="0"/>
    <x v="0"/>
    <n v="0"/>
    <x v="0"/>
    <x v="0"/>
    <m/>
    <n v="57"/>
  </r>
  <r>
    <s v="USR-100644"/>
    <d v="2025-01-18T00:00:00"/>
    <x v="0"/>
    <x v="3"/>
    <x v="0"/>
    <x v="1"/>
    <x v="0"/>
    <x v="0"/>
    <x v="0"/>
    <x v="0"/>
    <x v="0"/>
    <n v="0"/>
    <x v="0"/>
    <x v="0"/>
    <m/>
    <n v="39.5"/>
  </r>
  <r>
    <s v="USR-100645"/>
    <d v="2025-04-06T00:00:00"/>
    <x v="0"/>
    <x v="2"/>
    <x v="2"/>
    <x v="1"/>
    <x v="1"/>
    <x v="1"/>
    <x v="0"/>
    <x v="0"/>
    <x v="0"/>
    <n v="0"/>
    <x v="0"/>
    <x v="0"/>
    <m/>
    <n v="76.5"/>
  </r>
  <r>
    <s v="USR-100646"/>
    <d v="2025-04-17T00:00:00"/>
    <x v="0"/>
    <x v="2"/>
    <x v="1"/>
    <x v="1"/>
    <x v="1"/>
    <x v="1"/>
    <x v="0"/>
    <x v="0"/>
    <x v="0"/>
    <n v="0"/>
    <x v="0"/>
    <x v="0"/>
    <m/>
    <n v="32.4"/>
  </r>
  <r>
    <s v="USR-100647"/>
    <d v="2025-02-07T00:00:00"/>
    <x v="0"/>
    <x v="0"/>
    <x v="0"/>
    <x v="2"/>
    <x v="1"/>
    <x v="0"/>
    <x v="0"/>
    <x v="0"/>
    <x v="0"/>
    <n v="0"/>
    <x v="0"/>
    <x v="0"/>
    <m/>
    <n v="58.6"/>
  </r>
  <r>
    <s v="USR-100648"/>
    <d v="2025-03-04T00:00:00"/>
    <x v="0"/>
    <x v="2"/>
    <x v="1"/>
    <x v="1"/>
    <x v="0"/>
    <x v="1"/>
    <x v="0"/>
    <x v="0"/>
    <x v="0"/>
    <n v="0"/>
    <x v="0"/>
    <x v="0"/>
    <m/>
    <n v="78.599999999999994"/>
  </r>
  <r>
    <s v="USR-100649"/>
    <d v="2025-02-17T00:00:00"/>
    <x v="0"/>
    <x v="0"/>
    <x v="0"/>
    <x v="1"/>
    <x v="2"/>
    <x v="0"/>
    <x v="0"/>
    <x v="0"/>
    <x v="0"/>
    <n v="0"/>
    <x v="0"/>
    <x v="0"/>
    <m/>
    <n v="54.5"/>
  </r>
  <r>
    <s v="USR-100650"/>
    <d v="2025-05-06T00:00:00"/>
    <x v="0"/>
    <x v="3"/>
    <x v="1"/>
    <x v="3"/>
    <x v="1"/>
    <x v="1"/>
    <x v="0"/>
    <x v="0"/>
    <x v="0"/>
    <n v="0"/>
    <x v="0"/>
    <x v="0"/>
    <m/>
    <n v="57.6"/>
  </r>
  <r>
    <s v="USR-100651"/>
    <d v="2025-03-25T00:00:00"/>
    <x v="0"/>
    <x v="3"/>
    <x v="1"/>
    <x v="3"/>
    <x v="2"/>
    <x v="0"/>
    <x v="0"/>
    <x v="0"/>
    <x v="0"/>
    <n v="0"/>
    <x v="0"/>
    <x v="0"/>
    <m/>
    <n v="52.8"/>
  </r>
  <r>
    <s v="USR-100652"/>
    <d v="2025-03-04T00:00:00"/>
    <x v="0"/>
    <x v="1"/>
    <x v="1"/>
    <x v="0"/>
    <x v="2"/>
    <x v="1"/>
    <x v="0"/>
    <x v="0"/>
    <x v="0"/>
    <n v="0"/>
    <x v="0"/>
    <x v="0"/>
    <m/>
    <n v="52.9"/>
  </r>
  <r>
    <s v="USR-100653"/>
    <d v="2025-05-09T00:00:00"/>
    <x v="0"/>
    <x v="1"/>
    <x v="1"/>
    <x v="1"/>
    <x v="1"/>
    <x v="1"/>
    <x v="0"/>
    <x v="0"/>
    <x v="0"/>
    <n v="0"/>
    <x v="1"/>
    <x v="0"/>
    <m/>
    <n v="55.9"/>
  </r>
  <r>
    <s v="USR-100654"/>
    <d v="2025-05-17T00:00:00"/>
    <x v="0"/>
    <x v="1"/>
    <x v="1"/>
    <x v="3"/>
    <x v="2"/>
    <x v="1"/>
    <x v="0"/>
    <x v="0"/>
    <x v="0"/>
    <n v="0"/>
    <x v="0"/>
    <x v="0"/>
    <m/>
    <n v="74.2"/>
  </r>
  <r>
    <s v="USR-100655"/>
    <d v="2025-01-12T00:00:00"/>
    <x v="0"/>
    <x v="1"/>
    <x v="1"/>
    <x v="1"/>
    <x v="1"/>
    <x v="0"/>
    <x v="0"/>
    <x v="0"/>
    <x v="0"/>
    <n v="0"/>
    <x v="0"/>
    <x v="0"/>
    <m/>
    <n v="46.3"/>
  </r>
  <r>
    <s v="USR-100656"/>
    <d v="2025-03-12T00:00:00"/>
    <x v="0"/>
    <x v="1"/>
    <x v="1"/>
    <x v="1"/>
    <x v="2"/>
    <x v="1"/>
    <x v="0"/>
    <x v="0"/>
    <x v="0"/>
    <n v="0"/>
    <x v="0"/>
    <x v="0"/>
    <m/>
    <n v="62"/>
  </r>
  <r>
    <s v="USR-100657"/>
    <d v="2025-04-02T00:00:00"/>
    <x v="0"/>
    <x v="3"/>
    <x v="1"/>
    <x v="1"/>
    <x v="0"/>
    <x v="0"/>
    <x v="0"/>
    <x v="0"/>
    <x v="0"/>
    <n v="0"/>
    <x v="0"/>
    <x v="0"/>
    <m/>
    <n v="55.6"/>
  </r>
  <r>
    <s v="USR-100658"/>
    <d v="2025-01-13T00:00:00"/>
    <x v="0"/>
    <x v="3"/>
    <x v="1"/>
    <x v="1"/>
    <x v="0"/>
    <x v="1"/>
    <x v="0"/>
    <x v="0"/>
    <x v="0"/>
    <n v="0"/>
    <x v="0"/>
    <x v="0"/>
    <m/>
    <n v="62.8"/>
  </r>
  <r>
    <s v="USR-100659"/>
    <d v="2025-03-07T00:00:00"/>
    <x v="0"/>
    <x v="2"/>
    <x v="1"/>
    <x v="3"/>
    <x v="1"/>
    <x v="0"/>
    <x v="0"/>
    <x v="0"/>
    <x v="0"/>
    <n v="0"/>
    <x v="0"/>
    <x v="0"/>
    <m/>
    <n v="73.099999999999994"/>
  </r>
  <r>
    <s v="USR-100660"/>
    <d v="2025-04-20T00:00:00"/>
    <x v="0"/>
    <x v="3"/>
    <x v="0"/>
    <x v="4"/>
    <x v="1"/>
    <x v="1"/>
    <x v="1"/>
    <x v="1"/>
    <x v="1"/>
    <n v="347.52"/>
    <x v="0"/>
    <x v="0"/>
    <n v="2"/>
    <n v="57.2"/>
  </r>
  <r>
    <s v="USR-100661"/>
    <d v="2025-01-07T00:00:00"/>
    <x v="0"/>
    <x v="3"/>
    <x v="1"/>
    <x v="2"/>
    <x v="1"/>
    <x v="1"/>
    <x v="0"/>
    <x v="0"/>
    <x v="0"/>
    <n v="0"/>
    <x v="0"/>
    <x v="0"/>
    <m/>
    <n v="67.900000000000006"/>
  </r>
  <r>
    <s v="USR-100662"/>
    <d v="2025-04-23T00:00:00"/>
    <x v="0"/>
    <x v="3"/>
    <x v="1"/>
    <x v="3"/>
    <x v="1"/>
    <x v="0"/>
    <x v="0"/>
    <x v="0"/>
    <x v="0"/>
    <n v="0"/>
    <x v="0"/>
    <x v="0"/>
    <m/>
    <n v="50.1"/>
  </r>
  <r>
    <s v="USR-100663"/>
    <d v="2025-05-26T00:00:00"/>
    <x v="0"/>
    <x v="0"/>
    <x v="1"/>
    <x v="2"/>
    <x v="0"/>
    <x v="0"/>
    <x v="0"/>
    <x v="0"/>
    <x v="0"/>
    <n v="0"/>
    <x v="0"/>
    <x v="0"/>
    <m/>
    <n v="67.8"/>
  </r>
  <r>
    <s v="USR-100664"/>
    <d v="2025-03-17T00:00:00"/>
    <x v="0"/>
    <x v="0"/>
    <x v="0"/>
    <x v="4"/>
    <x v="0"/>
    <x v="1"/>
    <x v="1"/>
    <x v="1"/>
    <x v="0"/>
    <n v="0"/>
    <x v="0"/>
    <x v="0"/>
    <m/>
    <n v="60.8"/>
  </r>
  <r>
    <s v="USR-100665"/>
    <d v="2025-05-17T00:00:00"/>
    <x v="0"/>
    <x v="0"/>
    <x v="0"/>
    <x v="2"/>
    <x v="0"/>
    <x v="1"/>
    <x v="0"/>
    <x v="0"/>
    <x v="0"/>
    <n v="0"/>
    <x v="3"/>
    <x v="0"/>
    <m/>
    <n v="33.700000000000003"/>
  </r>
  <r>
    <s v="USR-100666"/>
    <d v="2025-02-21T00:00:00"/>
    <x v="0"/>
    <x v="0"/>
    <x v="1"/>
    <x v="2"/>
    <x v="0"/>
    <x v="0"/>
    <x v="0"/>
    <x v="0"/>
    <x v="0"/>
    <n v="0"/>
    <x v="0"/>
    <x v="0"/>
    <m/>
    <n v="45.2"/>
  </r>
  <r>
    <s v="USR-100667"/>
    <d v="2025-02-25T00:00:00"/>
    <x v="0"/>
    <x v="2"/>
    <x v="0"/>
    <x v="2"/>
    <x v="2"/>
    <x v="0"/>
    <x v="0"/>
    <x v="0"/>
    <x v="0"/>
    <n v="0"/>
    <x v="0"/>
    <x v="0"/>
    <m/>
    <n v="48.2"/>
  </r>
  <r>
    <s v="USR-100668"/>
    <d v="2025-01-30T00:00:00"/>
    <x v="0"/>
    <x v="3"/>
    <x v="1"/>
    <x v="4"/>
    <x v="1"/>
    <x v="1"/>
    <x v="1"/>
    <x v="0"/>
    <x v="0"/>
    <n v="0"/>
    <x v="1"/>
    <x v="0"/>
    <m/>
    <n v="44.8"/>
  </r>
  <r>
    <s v="USR-100669"/>
    <d v="2025-02-17T00:00:00"/>
    <x v="0"/>
    <x v="0"/>
    <x v="2"/>
    <x v="4"/>
    <x v="0"/>
    <x v="0"/>
    <x v="0"/>
    <x v="0"/>
    <x v="0"/>
    <n v="0"/>
    <x v="0"/>
    <x v="0"/>
    <m/>
    <n v="52.1"/>
  </r>
  <r>
    <s v="USR-100670"/>
    <d v="2025-05-17T00:00:00"/>
    <x v="0"/>
    <x v="0"/>
    <x v="0"/>
    <x v="2"/>
    <x v="0"/>
    <x v="1"/>
    <x v="0"/>
    <x v="0"/>
    <x v="0"/>
    <n v="0"/>
    <x v="0"/>
    <x v="0"/>
    <m/>
    <n v="30.7"/>
  </r>
  <r>
    <s v="USR-100671"/>
    <d v="2025-04-30T00:00:00"/>
    <x v="0"/>
    <x v="2"/>
    <x v="0"/>
    <x v="2"/>
    <x v="1"/>
    <x v="1"/>
    <x v="0"/>
    <x v="0"/>
    <x v="0"/>
    <n v="0"/>
    <x v="0"/>
    <x v="0"/>
    <m/>
    <n v="58.4"/>
  </r>
  <r>
    <s v="USR-100672"/>
    <d v="2025-03-22T00:00:00"/>
    <x v="0"/>
    <x v="1"/>
    <x v="1"/>
    <x v="3"/>
    <x v="1"/>
    <x v="1"/>
    <x v="1"/>
    <x v="0"/>
    <x v="0"/>
    <n v="0"/>
    <x v="0"/>
    <x v="0"/>
    <m/>
    <n v="52.6"/>
  </r>
  <r>
    <s v="USR-100673"/>
    <d v="2025-01-10T00:00:00"/>
    <x v="0"/>
    <x v="1"/>
    <x v="3"/>
    <x v="2"/>
    <x v="1"/>
    <x v="1"/>
    <x v="0"/>
    <x v="0"/>
    <x v="0"/>
    <n v="0"/>
    <x v="1"/>
    <x v="0"/>
    <m/>
    <n v="19.100000000000001"/>
  </r>
  <r>
    <s v="USR-100674"/>
    <d v="2025-03-21T00:00:00"/>
    <x v="0"/>
    <x v="3"/>
    <x v="3"/>
    <x v="2"/>
    <x v="1"/>
    <x v="1"/>
    <x v="0"/>
    <x v="0"/>
    <x v="0"/>
    <n v="0"/>
    <x v="0"/>
    <x v="0"/>
    <m/>
    <n v="36.799999999999997"/>
  </r>
  <r>
    <s v="USR-100675"/>
    <d v="2025-05-12T00:00:00"/>
    <x v="0"/>
    <x v="0"/>
    <x v="0"/>
    <x v="2"/>
    <x v="0"/>
    <x v="0"/>
    <x v="0"/>
    <x v="0"/>
    <x v="0"/>
    <n v="0"/>
    <x v="0"/>
    <x v="0"/>
    <m/>
    <n v="68.5"/>
  </r>
  <r>
    <s v="USR-100676"/>
    <d v="2025-05-24T00:00:00"/>
    <x v="0"/>
    <x v="1"/>
    <x v="1"/>
    <x v="2"/>
    <x v="1"/>
    <x v="1"/>
    <x v="1"/>
    <x v="1"/>
    <x v="0"/>
    <n v="0"/>
    <x v="0"/>
    <x v="0"/>
    <m/>
    <n v="40.1"/>
  </r>
  <r>
    <s v="USR-100677"/>
    <d v="2025-05-03T00:00:00"/>
    <x v="0"/>
    <x v="1"/>
    <x v="2"/>
    <x v="1"/>
    <x v="1"/>
    <x v="1"/>
    <x v="0"/>
    <x v="0"/>
    <x v="0"/>
    <n v="0"/>
    <x v="0"/>
    <x v="0"/>
    <m/>
    <n v="47.5"/>
  </r>
  <r>
    <s v="USR-100678"/>
    <d v="2025-01-14T00:00:00"/>
    <x v="0"/>
    <x v="3"/>
    <x v="1"/>
    <x v="1"/>
    <x v="0"/>
    <x v="1"/>
    <x v="0"/>
    <x v="0"/>
    <x v="0"/>
    <n v="0"/>
    <x v="0"/>
    <x v="0"/>
    <m/>
    <n v="77.099999999999994"/>
  </r>
  <r>
    <s v="USR-100679"/>
    <d v="2025-03-27T00:00:00"/>
    <x v="0"/>
    <x v="1"/>
    <x v="1"/>
    <x v="4"/>
    <x v="0"/>
    <x v="1"/>
    <x v="0"/>
    <x v="0"/>
    <x v="0"/>
    <n v="0"/>
    <x v="0"/>
    <x v="0"/>
    <m/>
    <n v="75.900000000000006"/>
  </r>
  <r>
    <s v="USR-100680"/>
    <d v="2025-02-28T00:00:00"/>
    <x v="0"/>
    <x v="0"/>
    <x v="0"/>
    <x v="3"/>
    <x v="2"/>
    <x v="0"/>
    <x v="0"/>
    <x v="0"/>
    <x v="0"/>
    <n v="0"/>
    <x v="1"/>
    <x v="0"/>
    <m/>
    <n v="52"/>
  </r>
  <r>
    <s v="USR-100681"/>
    <d v="2025-05-12T00:00:00"/>
    <x v="0"/>
    <x v="1"/>
    <x v="0"/>
    <x v="3"/>
    <x v="2"/>
    <x v="1"/>
    <x v="1"/>
    <x v="1"/>
    <x v="0"/>
    <n v="0"/>
    <x v="0"/>
    <x v="0"/>
    <m/>
    <n v="64.900000000000006"/>
  </r>
  <r>
    <s v="USR-100682"/>
    <d v="2025-03-14T00:00:00"/>
    <x v="0"/>
    <x v="0"/>
    <x v="1"/>
    <x v="1"/>
    <x v="1"/>
    <x v="1"/>
    <x v="0"/>
    <x v="0"/>
    <x v="0"/>
    <n v="0"/>
    <x v="0"/>
    <x v="0"/>
    <m/>
    <n v="48.2"/>
  </r>
  <r>
    <s v="USR-100683"/>
    <d v="2025-05-20T00:00:00"/>
    <x v="0"/>
    <x v="2"/>
    <x v="1"/>
    <x v="1"/>
    <x v="0"/>
    <x v="0"/>
    <x v="0"/>
    <x v="0"/>
    <x v="0"/>
    <n v="0"/>
    <x v="0"/>
    <x v="0"/>
    <m/>
    <n v="42.1"/>
  </r>
  <r>
    <s v="USR-100684"/>
    <d v="2025-02-24T00:00:00"/>
    <x v="0"/>
    <x v="3"/>
    <x v="0"/>
    <x v="3"/>
    <x v="1"/>
    <x v="0"/>
    <x v="0"/>
    <x v="0"/>
    <x v="0"/>
    <n v="0"/>
    <x v="0"/>
    <x v="0"/>
    <m/>
    <n v="27.6"/>
  </r>
  <r>
    <s v="USR-100685"/>
    <d v="2025-02-13T00:00:00"/>
    <x v="0"/>
    <x v="1"/>
    <x v="1"/>
    <x v="1"/>
    <x v="2"/>
    <x v="1"/>
    <x v="0"/>
    <x v="0"/>
    <x v="0"/>
    <n v="0"/>
    <x v="1"/>
    <x v="0"/>
    <m/>
    <n v="68.5"/>
  </r>
  <r>
    <s v="USR-100686"/>
    <d v="2025-02-06T00:00:00"/>
    <x v="0"/>
    <x v="3"/>
    <x v="0"/>
    <x v="1"/>
    <x v="1"/>
    <x v="1"/>
    <x v="1"/>
    <x v="1"/>
    <x v="0"/>
    <n v="0"/>
    <x v="0"/>
    <x v="0"/>
    <m/>
    <n v="59.2"/>
  </r>
  <r>
    <s v="USR-100687"/>
    <d v="2025-03-02T00:00:00"/>
    <x v="0"/>
    <x v="0"/>
    <x v="1"/>
    <x v="4"/>
    <x v="0"/>
    <x v="1"/>
    <x v="0"/>
    <x v="0"/>
    <x v="0"/>
    <n v="0"/>
    <x v="0"/>
    <x v="0"/>
    <m/>
    <n v="63.3"/>
  </r>
  <r>
    <s v="USR-100688"/>
    <d v="2025-04-28T00:00:00"/>
    <x v="0"/>
    <x v="2"/>
    <x v="0"/>
    <x v="2"/>
    <x v="1"/>
    <x v="0"/>
    <x v="0"/>
    <x v="0"/>
    <x v="0"/>
    <n v="0"/>
    <x v="0"/>
    <x v="0"/>
    <m/>
    <n v="55"/>
  </r>
  <r>
    <s v="USR-100689"/>
    <d v="2025-05-27T00:00:00"/>
    <x v="0"/>
    <x v="0"/>
    <x v="0"/>
    <x v="5"/>
    <x v="2"/>
    <x v="1"/>
    <x v="0"/>
    <x v="0"/>
    <x v="0"/>
    <n v="0"/>
    <x v="0"/>
    <x v="0"/>
    <m/>
    <n v="64.8"/>
  </r>
  <r>
    <s v="USR-100690"/>
    <d v="2025-04-07T00:00:00"/>
    <x v="0"/>
    <x v="3"/>
    <x v="0"/>
    <x v="1"/>
    <x v="0"/>
    <x v="0"/>
    <x v="0"/>
    <x v="0"/>
    <x v="0"/>
    <n v="0"/>
    <x v="2"/>
    <x v="0"/>
    <m/>
    <n v="41.8"/>
  </r>
  <r>
    <s v="USR-100433"/>
    <d v="2025-02-03T00:00:00"/>
    <x v="0"/>
    <x v="0"/>
    <x v="2"/>
    <x v="0"/>
    <x v="0"/>
    <x v="1"/>
    <x v="0"/>
    <x v="0"/>
    <x v="0"/>
    <n v="0"/>
    <x v="0"/>
    <x v="0"/>
    <m/>
    <n v="60.9"/>
  </r>
  <r>
    <s v="USR-100541"/>
    <d v="2025-05-22T00:00:00"/>
    <x v="0"/>
    <x v="0"/>
    <x v="1"/>
    <x v="2"/>
    <x v="0"/>
    <x v="1"/>
    <x v="1"/>
    <x v="0"/>
    <x v="0"/>
    <n v="0"/>
    <x v="0"/>
    <x v="0"/>
    <m/>
    <n v="39.9"/>
  </r>
  <r>
    <s v="USR-100541"/>
    <d v="2025-05-22T00:00:00"/>
    <x v="0"/>
    <x v="0"/>
    <x v="1"/>
    <x v="2"/>
    <x v="0"/>
    <x v="1"/>
    <x v="1"/>
    <x v="0"/>
    <x v="0"/>
    <n v="0"/>
    <x v="0"/>
    <x v="0"/>
    <m/>
    <n v="39.9"/>
  </r>
  <r>
    <s v="USR-100691"/>
    <d v="2025-04-14T00:00:00"/>
    <x v="1"/>
    <x v="2"/>
    <x v="0"/>
    <x v="4"/>
    <x v="0"/>
    <x v="1"/>
    <x v="0"/>
    <x v="0"/>
    <x v="0"/>
    <n v="0"/>
    <x v="0"/>
    <x v="0"/>
    <m/>
    <n v="73.2"/>
  </r>
  <r>
    <s v="USR-100692"/>
    <d v="2025-05-09T00:00:00"/>
    <x v="1"/>
    <x v="2"/>
    <x v="0"/>
    <x v="1"/>
    <x v="0"/>
    <x v="1"/>
    <x v="1"/>
    <x v="1"/>
    <x v="0"/>
    <n v="0"/>
    <x v="3"/>
    <x v="0"/>
    <m/>
    <n v="55.7"/>
  </r>
  <r>
    <s v="USR-100693"/>
    <d v="2025-03-21T00:00:00"/>
    <x v="1"/>
    <x v="0"/>
    <x v="1"/>
    <x v="1"/>
    <x v="1"/>
    <x v="1"/>
    <x v="1"/>
    <x v="1"/>
    <x v="0"/>
    <n v="0"/>
    <x v="0"/>
    <x v="0"/>
    <m/>
    <n v="82.8"/>
  </r>
  <r>
    <s v="USR-100694"/>
    <d v="2025-03-27T00:00:00"/>
    <x v="1"/>
    <x v="0"/>
    <x v="0"/>
    <x v="4"/>
    <x v="1"/>
    <x v="1"/>
    <x v="0"/>
    <x v="0"/>
    <x v="0"/>
    <n v="0"/>
    <x v="0"/>
    <x v="0"/>
    <m/>
    <m/>
  </r>
  <r>
    <s v="USR-100695"/>
    <d v="2025-01-21T00:00:00"/>
    <x v="1"/>
    <x v="3"/>
    <x v="1"/>
    <x v="2"/>
    <x v="1"/>
    <x v="0"/>
    <x v="0"/>
    <x v="0"/>
    <x v="0"/>
    <n v="0"/>
    <x v="0"/>
    <x v="0"/>
    <m/>
    <n v="34.4"/>
  </r>
  <r>
    <s v="USR-100696"/>
    <d v="2025-03-19T00:00:00"/>
    <x v="1"/>
    <x v="2"/>
    <x v="0"/>
    <x v="0"/>
    <x v="1"/>
    <x v="1"/>
    <x v="0"/>
    <x v="0"/>
    <x v="0"/>
    <n v="0"/>
    <x v="0"/>
    <x v="0"/>
    <m/>
    <n v="45.2"/>
  </r>
  <r>
    <s v="USR-100697"/>
    <d v="2025-05-27T00:00:00"/>
    <x v="1"/>
    <x v="0"/>
    <x v="1"/>
    <x v="1"/>
    <x v="0"/>
    <x v="1"/>
    <x v="0"/>
    <x v="0"/>
    <x v="0"/>
    <n v="0"/>
    <x v="0"/>
    <x v="0"/>
    <m/>
    <n v="71.599999999999994"/>
  </r>
  <r>
    <s v="USR-100698"/>
    <d v="2025-01-01T00:00:00"/>
    <x v="1"/>
    <x v="0"/>
    <x v="1"/>
    <x v="4"/>
    <x v="1"/>
    <x v="1"/>
    <x v="1"/>
    <x v="1"/>
    <x v="0"/>
    <n v="0"/>
    <x v="0"/>
    <x v="0"/>
    <m/>
    <n v="69.099999999999994"/>
  </r>
  <r>
    <s v="USR-100699"/>
    <d v="2025-03-29T00:00:00"/>
    <x v="1"/>
    <x v="1"/>
    <x v="0"/>
    <x v="2"/>
    <x v="2"/>
    <x v="1"/>
    <x v="0"/>
    <x v="0"/>
    <x v="0"/>
    <n v="0"/>
    <x v="1"/>
    <x v="0"/>
    <m/>
    <n v="37.700000000000003"/>
  </r>
  <r>
    <s v="USR-100700"/>
    <d v="2025-03-17T00:00:00"/>
    <x v="1"/>
    <x v="1"/>
    <x v="0"/>
    <x v="1"/>
    <x v="0"/>
    <x v="1"/>
    <x v="0"/>
    <x v="0"/>
    <x v="0"/>
    <n v="0"/>
    <x v="1"/>
    <x v="0"/>
    <m/>
    <n v="60.8"/>
  </r>
  <r>
    <s v="USR-100701"/>
    <d v="2025-05-05T00:00:00"/>
    <x v="1"/>
    <x v="0"/>
    <x v="1"/>
    <x v="1"/>
    <x v="1"/>
    <x v="1"/>
    <x v="1"/>
    <x v="1"/>
    <x v="1"/>
    <n v="444.13"/>
    <x v="0"/>
    <x v="0"/>
    <n v="10"/>
    <n v="80.7"/>
  </r>
  <r>
    <s v="USR-100702"/>
    <d v="2025-05-04T00:00:00"/>
    <x v="1"/>
    <x v="3"/>
    <x v="1"/>
    <x v="4"/>
    <x v="1"/>
    <x v="1"/>
    <x v="0"/>
    <x v="0"/>
    <x v="0"/>
    <n v="0"/>
    <x v="0"/>
    <x v="0"/>
    <m/>
    <n v="69.2"/>
  </r>
  <r>
    <s v="USR-100703"/>
    <d v="2025-03-25T00:00:00"/>
    <x v="1"/>
    <x v="0"/>
    <x v="1"/>
    <x v="4"/>
    <x v="2"/>
    <x v="0"/>
    <x v="0"/>
    <x v="0"/>
    <x v="0"/>
    <n v="0"/>
    <x v="3"/>
    <x v="0"/>
    <m/>
    <n v="55"/>
  </r>
  <r>
    <s v="USR-100704"/>
    <d v="2025-04-17T00:00:00"/>
    <x v="1"/>
    <x v="1"/>
    <x v="1"/>
    <x v="0"/>
    <x v="1"/>
    <x v="0"/>
    <x v="0"/>
    <x v="0"/>
    <x v="0"/>
    <n v="0"/>
    <x v="1"/>
    <x v="0"/>
    <m/>
    <n v="73.599999999999994"/>
  </r>
  <r>
    <s v="USR-100705"/>
    <d v="2025-05-23T00:00:00"/>
    <x v="1"/>
    <x v="3"/>
    <x v="1"/>
    <x v="3"/>
    <x v="0"/>
    <x v="1"/>
    <x v="1"/>
    <x v="1"/>
    <x v="0"/>
    <n v="0"/>
    <x v="1"/>
    <x v="0"/>
    <m/>
    <n v="47.3"/>
  </r>
  <r>
    <s v="USR-100706"/>
    <d v="2025-01-13T00:00:00"/>
    <x v="1"/>
    <x v="0"/>
    <x v="1"/>
    <x v="1"/>
    <x v="0"/>
    <x v="0"/>
    <x v="0"/>
    <x v="0"/>
    <x v="0"/>
    <n v="0"/>
    <x v="0"/>
    <x v="0"/>
    <m/>
    <n v="43.6"/>
  </r>
  <r>
    <s v="USR-100707"/>
    <d v="2025-01-29T00:00:00"/>
    <x v="1"/>
    <x v="0"/>
    <x v="0"/>
    <x v="1"/>
    <x v="0"/>
    <x v="1"/>
    <x v="0"/>
    <x v="0"/>
    <x v="0"/>
    <n v="0"/>
    <x v="0"/>
    <x v="0"/>
    <m/>
    <m/>
  </r>
  <r>
    <s v="USR-100708"/>
    <d v="2025-05-11T00:00:00"/>
    <x v="1"/>
    <x v="3"/>
    <x v="1"/>
    <x v="0"/>
    <x v="1"/>
    <x v="0"/>
    <x v="0"/>
    <x v="0"/>
    <x v="0"/>
    <n v="0"/>
    <x v="0"/>
    <x v="0"/>
    <m/>
    <n v="55.2"/>
  </r>
  <r>
    <s v="USR-100709"/>
    <d v="2025-04-22T00:00:00"/>
    <x v="1"/>
    <x v="3"/>
    <x v="1"/>
    <x v="1"/>
    <x v="0"/>
    <x v="1"/>
    <x v="0"/>
    <x v="0"/>
    <x v="0"/>
    <n v="0"/>
    <x v="0"/>
    <x v="0"/>
    <m/>
    <n v="49.4"/>
  </r>
  <r>
    <s v="USR-100710"/>
    <d v="2025-03-03T00:00:00"/>
    <x v="1"/>
    <x v="3"/>
    <x v="1"/>
    <x v="4"/>
    <x v="1"/>
    <x v="1"/>
    <x v="1"/>
    <x v="1"/>
    <x v="0"/>
    <n v="0"/>
    <x v="1"/>
    <x v="0"/>
    <m/>
    <n v="60.1"/>
  </r>
  <r>
    <s v="USR-100711"/>
    <d v="2025-03-18T00:00:00"/>
    <x v="1"/>
    <x v="0"/>
    <x v="1"/>
    <x v="3"/>
    <x v="1"/>
    <x v="1"/>
    <x v="0"/>
    <x v="0"/>
    <x v="0"/>
    <n v="0"/>
    <x v="0"/>
    <x v="0"/>
    <m/>
    <n v="55.9"/>
  </r>
  <r>
    <s v="USR-100712"/>
    <d v="2025-04-05T00:00:00"/>
    <x v="1"/>
    <x v="0"/>
    <x v="1"/>
    <x v="1"/>
    <x v="0"/>
    <x v="1"/>
    <x v="0"/>
    <x v="0"/>
    <x v="0"/>
    <n v="0"/>
    <x v="0"/>
    <x v="0"/>
    <m/>
    <n v="51.5"/>
  </r>
  <r>
    <s v="USR-100713"/>
    <d v="2025-04-16T00:00:00"/>
    <x v="1"/>
    <x v="2"/>
    <x v="1"/>
    <x v="1"/>
    <x v="1"/>
    <x v="1"/>
    <x v="1"/>
    <x v="1"/>
    <x v="1"/>
    <n v="516.66999999999996"/>
    <x v="0"/>
    <x v="0"/>
    <n v="11"/>
    <n v="57.9"/>
  </r>
  <r>
    <s v="USR-100714"/>
    <d v="2025-04-20T00:00:00"/>
    <x v="1"/>
    <x v="3"/>
    <x v="1"/>
    <x v="3"/>
    <x v="1"/>
    <x v="1"/>
    <x v="1"/>
    <x v="1"/>
    <x v="1"/>
    <n v="277.18"/>
    <x v="2"/>
    <x v="0"/>
    <n v="8"/>
    <n v="59.2"/>
  </r>
  <r>
    <s v="USR-100715"/>
    <d v="2025-02-15T00:00:00"/>
    <x v="1"/>
    <x v="3"/>
    <x v="1"/>
    <x v="1"/>
    <x v="1"/>
    <x v="0"/>
    <x v="0"/>
    <x v="0"/>
    <x v="0"/>
    <n v="0"/>
    <x v="0"/>
    <x v="0"/>
    <m/>
    <n v="64.2"/>
  </r>
  <r>
    <s v="USR-100716"/>
    <d v="2025-01-21T00:00:00"/>
    <x v="1"/>
    <x v="3"/>
    <x v="1"/>
    <x v="1"/>
    <x v="1"/>
    <x v="1"/>
    <x v="0"/>
    <x v="0"/>
    <x v="0"/>
    <n v="0"/>
    <x v="0"/>
    <x v="0"/>
    <m/>
    <n v="68.8"/>
  </r>
  <r>
    <s v="USR-100717"/>
    <d v="2025-05-23T00:00:00"/>
    <x v="1"/>
    <x v="0"/>
    <x v="1"/>
    <x v="2"/>
    <x v="2"/>
    <x v="1"/>
    <x v="1"/>
    <x v="1"/>
    <x v="0"/>
    <n v="0"/>
    <x v="0"/>
    <x v="0"/>
    <m/>
    <n v="77.900000000000006"/>
  </r>
  <r>
    <s v="USR-100718"/>
    <d v="2025-01-22T00:00:00"/>
    <x v="1"/>
    <x v="1"/>
    <x v="1"/>
    <x v="2"/>
    <x v="0"/>
    <x v="0"/>
    <x v="0"/>
    <x v="0"/>
    <x v="0"/>
    <n v="0"/>
    <x v="0"/>
    <x v="0"/>
    <m/>
    <n v="92.1"/>
  </r>
  <r>
    <s v="USR-100719"/>
    <d v="2025-04-24T00:00:00"/>
    <x v="1"/>
    <x v="1"/>
    <x v="1"/>
    <x v="2"/>
    <x v="2"/>
    <x v="0"/>
    <x v="0"/>
    <x v="0"/>
    <x v="0"/>
    <n v="0"/>
    <x v="0"/>
    <x v="0"/>
    <m/>
    <n v="63.6"/>
  </r>
  <r>
    <s v="USR-100720"/>
    <d v="2025-01-17T00:00:00"/>
    <x v="1"/>
    <x v="1"/>
    <x v="0"/>
    <x v="0"/>
    <x v="1"/>
    <x v="0"/>
    <x v="0"/>
    <x v="0"/>
    <x v="0"/>
    <n v="0"/>
    <x v="2"/>
    <x v="0"/>
    <m/>
    <n v="61.6"/>
  </r>
  <r>
    <s v="USR-100721"/>
    <d v="2025-01-22T00:00:00"/>
    <x v="1"/>
    <x v="2"/>
    <x v="1"/>
    <x v="3"/>
    <x v="0"/>
    <x v="1"/>
    <x v="1"/>
    <x v="0"/>
    <x v="0"/>
    <n v="0"/>
    <x v="0"/>
    <x v="0"/>
    <m/>
    <n v="82.3"/>
  </r>
  <r>
    <s v="USR-100722"/>
    <d v="2025-05-04T00:00:00"/>
    <x v="1"/>
    <x v="2"/>
    <x v="0"/>
    <x v="2"/>
    <x v="1"/>
    <x v="1"/>
    <x v="0"/>
    <x v="0"/>
    <x v="0"/>
    <n v="0"/>
    <x v="0"/>
    <x v="0"/>
    <m/>
    <n v="79.3"/>
  </r>
  <r>
    <s v="USR-100723"/>
    <d v="2025-03-13T00:00:00"/>
    <x v="1"/>
    <x v="3"/>
    <x v="1"/>
    <x v="5"/>
    <x v="1"/>
    <x v="0"/>
    <x v="0"/>
    <x v="0"/>
    <x v="0"/>
    <n v="0"/>
    <x v="0"/>
    <x v="0"/>
    <m/>
    <n v="57.7"/>
  </r>
  <r>
    <s v="USR-100724"/>
    <d v="2025-01-02T00:00:00"/>
    <x v="1"/>
    <x v="0"/>
    <x v="1"/>
    <x v="1"/>
    <x v="0"/>
    <x v="1"/>
    <x v="0"/>
    <x v="0"/>
    <x v="0"/>
    <n v="0"/>
    <x v="0"/>
    <x v="0"/>
    <m/>
    <n v="63.1"/>
  </r>
  <r>
    <s v="USR-100725"/>
    <d v="2025-01-13T00:00:00"/>
    <x v="1"/>
    <x v="2"/>
    <x v="1"/>
    <x v="2"/>
    <x v="0"/>
    <x v="0"/>
    <x v="0"/>
    <x v="0"/>
    <x v="0"/>
    <n v="0"/>
    <x v="0"/>
    <x v="0"/>
    <m/>
    <n v="72.3"/>
  </r>
  <r>
    <s v="USR-100726"/>
    <d v="2025-02-09T00:00:00"/>
    <x v="1"/>
    <x v="2"/>
    <x v="1"/>
    <x v="4"/>
    <x v="1"/>
    <x v="1"/>
    <x v="1"/>
    <x v="1"/>
    <x v="0"/>
    <n v="0"/>
    <x v="0"/>
    <x v="0"/>
    <m/>
    <n v="78"/>
  </r>
  <r>
    <s v="USR-100727"/>
    <d v="2025-04-09T00:00:00"/>
    <x v="1"/>
    <x v="2"/>
    <x v="0"/>
    <x v="4"/>
    <x v="1"/>
    <x v="1"/>
    <x v="1"/>
    <x v="0"/>
    <x v="0"/>
    <n v="0"/>
    <x v="2"/>
    <x v="0"/>
    <m/>
    <n v="59.1"/>
  </r>
  <r>
    <s v="USR-100728"/>
    <d v="2025-01-02T00:00:00"/>
    <x v="1"/>
    <x v="3"/>
    <x v="1"/>
    <x v="2"/>
    <x v="1"/>
    <x v="1"/>
    <x v="1"/>
    <x v="1"/>
    <x v="1"/>
    <n v="604.09"/>
    <x v="0"/>
    <x v="0"/>
    <n v="7"/>
    <n v="47.1"/>
  </r>
  <r>
    <s v="USR-100729"/>
    <d v="2025-02-04T00:00:00"/>
    <x v="1"/>
    <x v="3"/>
    <x v="1"/>
    <x v="5"/>
    <x v="2"/>
    <x v="1"/>
    <x v="0"/>
    <x v="0"/>
    <x v="0"/>
    <n v="0"/>
    <x v="0"/>
    <x v="0"/>
    <m/>
    <n v="64.900000000000006"/>
  </r>
  <r>
    <s v="USR-100730"/>
    <d v="2025-02-19T00:00:00"/>
    <x v="1"/>
    <x v="3"/>
    <x v="2"/>
    <x v="2"/>
    <x v="1"/>
    <x v="0"/>
    <x v="0"/>
    <x v="0"/>
    <x v="0"/>
    <n v="0"/>
    <x v="0"/>
    <x v="0"/>
    <m/>
    <n v="67.3"/>
  </r>
  <r>
    <s v="USR-100731"/>
    <d v="2025-04-01T00:00:00"/>
    <x v="1"/>
    <x v="2"/>
    <x v="1"/>
    <x v="2"/>
    <x v="0"/>
    <x v="1"/>
    <x v="0"/>
    <x v="0"/>
    <x v="0"/>
    <n v="0"/>
    <x v="2"/>
    <x v="0"/>
    <m/>
    <n v="52.9"/>
  </r>
  <r>
    <s v="USR-100732"/>
    <d v="2025-01-29T00:00:00"/>
    <x v="1"/>
    <x v="0"/>
    <x v="1"/>
    <x v="3"/>
    <x v="1"/>
    <x v="1"/>
    <x v="1"/>
    <x v="1"/>
    <x v="1"/>
    <n v="442.37"/>
    <x v="1"/>
    <x v="0"/>
    <n v="4"/>
    <n v="69.900000000000006"/>
  </r>
  <r>
    <s v="USR-100733"/>
    <d v="2025-05-18T00:00:00"/>
    <x v="1"/>
    <x v="0"/>
    <x v="1"/>
    <x v="3"/>
    <x v="0"/>
    <x v="1"/>
    <x v="1"/>
    <x v="1"/>
    <x v="0"/>
    <n v="0"/>
    <x v="0"/>
    <x v="0"/>
    <m/>
    <n v="78.900000000000006"/>
  </r>
  <r>
    <s v="USR-100734"/>
    <d v="2025-04-15T00:00:00"/>
    <x v="1"/>
    <x v="2"/>
    <x v="0"/>
    <x v="4"/>
    <x v="2"/>
    <x v="1"/>
    <x v="1"/>
    <x v="0"/>
    <x v="0"/>
    <n v="0"/>
    <x v="0"/>
    <x v="0"/>
    <m/>
    <n v="83.3"/>
  </r>
  <r>
    <s v="USR-100735"/>
    <d v="2025-03-28T00:00:00"/>
    <x v="1"/>
    <x v="2"/>
    <x v="0"/>
    <x v="0"/>
    <x v="1"/>
    <x v="1"/>
    <x v="0"/>
    <x v="0"/>
    <x v="0"/>
    <n v="0"/>
    <x v="1"/>
    <x v="0"/>
    <m/>
    <n v="24.5"/>
  </r>
  <r>
    <s v="USR-100736"/>
    <d v="2025-04-01T00:00:00"/>
    <x v="1"/>
    <x v="1"/>
    <x v="1"/>
    <x v="2"/>
    <x v="0"/>
    <x v="1"/>
    <x v="1"/>
    <x v="0"/>
    <x v="0"/>
    <n v="0"/>
    <x v="1"/>
    <x v="0"/>
    <m/>
    <n v="56.9"/>
  </r>
  <r>
    <s v="USR-100737"/>
    <d v="2025-02-11T00:00:00"/>
    <x v="1"/>
    <x v="1"/>
    <x v="1"/>
    <x v="4"/>
    <x v="0"/>
    <x v="1"/>
    <x v="0"/>
    <x v="0"/>
    <x v="0"/>
    <n v="0"/>
    <x v="0"/>
    <x v="0"/>
    <m/>
    <n v="69.900000000000006"/>
  </r>
  <r>
    <s v="USR-100738"/>
    <d v="2025-03-04T00:00:00"/>
    <x v="1"/>
    <x v="3"/>
    <x v="1"/>
    <x v="1"/>
    <x v="1"/>
    <x v="1"/>
    <x v="1"/>
    <x v="1"/>
    <x v="0"/>
    <n v="0"/>
    <x v="0"/>
    <x v="0"/>
    <m/>
    <n v="81.5"/>
  </r>
  <r>
    <s v="USR-100739"/>
    <d v="2025-01-21T00:00:00"/>
    <x v="1"/>
    <x v="0"/>
    <x v="2"/>
    <x v="4"/>
    <x v="0"/>
    <x v="0"/>
    <x v="0"/>
    <x v="0"/>
    <x v="0"/>
    <n v="0"/>
    <x v="2"/>
    <x v="0"/>
    <m/>
    <n v="37.9"/>
  </r>
  <r>
    <s v="USR-100740"/>
    <d v="2025-02-14T00:00:00"/>
    <x v="1"/>
    <x v="0"/>
    <x v="1"/>
    <x v="3"/>
    <x v="1"/>
    <x v="0"/>
    <x v="0"/>
    <x v="0"/>
    <x v="0"/>
    <n v="0"/>
    <x v="1"/>
    <x v="0"/>
    <m/>
    <n v="61.7"/>
  </r>
  <r>
    <s v="USR-100741"/>
    <d v="2025-03-30T00:00:00"/>
    <x v="1"/>
    <x v="0"/>
    <x v="0"/>
    <x v="5"/>
    <x v="2"/>
    <x v="1"/>
    <x v="0"/>
    <x v="0"/>
    <x v="0"/>
    <n v="0"/>
    <x v="2"/>
    <x v="0"/>
    <m/>
    <n v="53.2"/>
  </r>
  <r>
    <s v="USR-100742"/>
    <d v="2025-01-08T00:00:00"/>
    <x v="1"/>
    <x v="0"/>
    <x v="1"/>
    <x v="3"/>
    <x v="1"/>
    <x v="0"/>
    <x v="0"/>
    <x v="0"/>
    <x v="0"/>
    <n v="0"/>
    <x v="0"/>
    <x v="0"/>
    <m/>
    <n v="61.9"/>
  </r>
  <r>
    <s v="USR-100743"/>
    <d v="2025-02-07T00:00:00"/>
    <x v="1"/>
    <x v="0"/>
    <x v="1"/>
    <x v="4"/>
    <x v="1"/>
    <x v="1"/>
    <x v="1"/>
    <x v="1"/>
    <x v="0"/>
    <n v="0"/>
    <x v="0"/>
    <x v="0"/>
    <m/>
    <n v="68.900000000000006"/>
  </r>
  <r>
    <s v="USR-100744"/>
    <d v="2025-02-01T00:00:00"/>
    <x v="1"/>
    <x v="0"/>
    <x v="2"/>
    <x v="2"/>
    <x v="0"/>
    <x v="0"/>
    <x v="0"/>
    <x v="0"/>
    <x v="0"/>
    <n v="0"/>
    <x v="0"/>
    <x v="0"/>
    <m/>
    <n v="66.3"/>
  </r>
  <r>
    <s v="USR-100745"/>
    <d v="2025-01-04T00:00:00"/>
    <x v="1"/>
    <x v="2"/>
    <x v="1"/>
    <x v="0"/>
    <x v="1"/>
    <x v="1"/>
    <x v="1"/>
    <x v="1"/>
    <x v="0"/>
    <n v="0"/>
    <x v="0"/>
    <x v="0"/>
    <m/>
    <n v="54.6"/>
  </r>
  <r>
    <s v="USR-100746"/>
    <d v="2025-05-16T00:00:00"/>
    <x v="1"/>
    <x v="3"/>
    <x v="0"/>
    <x v="3"/>
    <x v="1"/>
    <x v="0"/>
    <x v="0"/>
    <x v="0"/>
    <x v="0"/>
    <n v="0"/>
    <x v="0"/>
    <x v="0"/>
    <m/>
    <n v="53.8"/>
  </r>
  <r>
    <s v="USR-100747"/>
    <d v="2025-02-28T00:00:00"/>
    <x v="1"/>
    <x v="1"/>
    <x v="1"/>
    <x v="3"/>
    <x v="1"/>
    <x v="1"/>
    <x v="0"/>
    <x v="0"/>
    <x v="0"/>
    <n v="0"/>
    <x v="0"/>
    <x v="0"/>
    <m/>
    <n v="59.5"/>
  </r>
  <r>
    <s v="USR-100748"/>
    <d v="2025-04-12T00:00:00"/>
    <x v="1"/>
    <x v="0"/>
    <x v="1"/>
    <x v="3"/>
    <x v="1"/>
    <x v="1"/>
    <x v="0"/>
    <x v="0"/>
    <x v="0"/>
    <n v="0"/>
    <x v="0"/>
    <x v="0"/>
    <m/>
    <n v="52.6"/>
  </r>
  <r>
    <s v="USR-100749"/>
    <d v="2025-03-23T00:00:00"/>
    <x v="1"/>
    <x v="3"/>
    <x v="0"/>
    <x v="1"/>
    <x v="1"/>
    <x v="0"/>
    <x v="0"/>
    <x v="0"/>
    <x v="0"/>
    <n v="0"/>
    <x v="0"/>
    <x v="0"/>
    <m/>
    <n v="49"/>
  </r>
  <r>
    <s v="USR-100750"/>
    <d v="2025-05-29T00:00:00"/>
    <x v="1"/>
    <x v="0"/>
    <x v="2"/>
    <x v="1"/>
    <x v="1"/>
    <x v="1"/>
    <x v="0"/>
    <x v="0"/>
    <x v="0"/>
    <n v="0"/>
    <x v="0"/>
    <x v="0"/>
    <m/>
    <n v="59.3"/>
  </r>
  <r>
    <s v="USR-100751"/>
    <d v="2025-05-21T00:00:00"/>
    <x v="1"/>
    <x v="3"/>
    <x v="0"/>
    <x v="1"/>
    <x v="0"/>
    <x v="0"/>
    <x v="0"/>
    <x v="0"/>
    <x v="0"/>
    <n v="0"/>
    <x v="0"/>
    <x v="0"/>
    <m/>
    <n v="67.2"/>
  </r>
  <r>
    <s v="USR-100752"/>
    <d v="2025-01-05T00:00:00"/>
    <x v="1"/>
    <x v="3"/>
    <x v="1"/>
    <x v="3"/>
    <x v="2"/>
    <x v="0"/>
    <x v="0"/>
    <x v="0"/>
    <x v="0"/>
    <n v="0"/>
    <x v="0"/>
    <x v="0"/>
    <m/>
    <n v="73.5"/>
  </r>
  <r>
    <s v="USR-100753"/>
    <d v="2025-03-19T00:00:00"/>
    <x v="1"/>
    <x v="2"/>
    <x v="2"/>
    <x v="1"/>
    <x v="1"/>
    <x v="1"/>
    <x v="0"/>
    <x v="0"/>
    <x v="0"/>
    <n v="0"/>
    <x v="0"/>
    <x v="0"/>
    <m/>
    <n v="61.2"/>
  </r>
  <r>
    <s v="USR-100754"/>
    <d v="2025-04-24T00:00:00"/>
    <x v="1"/>
    <x v="2"/>
    <x v="1"/>
    <x v="1"/>
    <x v="1"/>
    <x v="1"/>
    <x v="0"/>
    <x v="0"/>
    <x v="0"/>
    <n v="0"/>
    <x v="1"/>
    <x v="0"/>
    <m/>
    <n v="56.4"/>
  </r>
  <r>
    <s v="USR-100755"/>
    <d v="2025-03-10T00:00:00"/>
    <x v="1"/>
    <x v="0"/>
    <x v="2"/>
    <x v="1"/>
    <x v="1"/>
    <x v="0"/>
    <x v="0"/>
    <x v="0"/>
    <x v="0"/>
    <n v="0"/>
    <x v="3"/>
    <x v="0"/>
    <m/>
    <n v="72.599999999999994"/>
  </r>
  <r>
    <s v="USR-100756"/>
    <d v="2025-02-22T00:00:00"/>
    <x v="1"/>
    <x v="3"/>
    <x v="2"/>
    <x v="3"/>
    <x v="0"/>
    <x v="1"/>
    <x v="0"/>
    <x v="0"/>
    <x v="0"/>
    <n v="0"/>
    <x v="0"/>
    <x v="0"/>
    <m/>
    <n v="61.7"/>
  </r>
  <r>
    <s v="USR-100757"/>
    <d v="2025-05-17T00:00:00"/>
    <x v="1"/>
    <x v="2"/>
    <x v="1"/>
    <x v="4"/>
    <x v="1"/>
    <x v="0"/>
    <x v="0"/>
    <x v="0"/>
    <x v="0"/>
    <n v="0"/>
    <x v="1"/>
    <x v="0"/>
    <m/>
    <n v="66.900000000000006"/>
  </r>
  <r>
    <s v="USR-100758"/>
    <d v="2025-05-09T00:00:00"/>
    <x v="1"/>
    <x v="2"/>
    <x v="2"/>
    <x v="3"/>
    <x v="2"/>
    <x v="1"/>
    <x v="1"/>
    <x v="1"/>
    <x v="1"/>
    <n v="1506.24"/>
    <x v="1"/>
    <x v="0"/>
    <n v="7"/>
    <n v="64.900000000000006"/>
  </r>
  <r>
    <s v="USR-100759"/>
    <d v="2025-04-26T00:00:00"/>
    <x v="1"/>
    <x v="2"/>
    <x v="2"/>
    <x v="1"/>
    <x v="2"/>
    <x v="1"/>
    <x v="0"/>
    <x v="0"/>
    <x v="0"/>
    <n v="0"/>
    <x v="0"/>
    <x v="0"/>
    <m/>
    <n v="57.5"/>
  </r>
  <r>
    <s v="USR-100760"/>
    <d v="2025-03-15T00:00:00"/>
    <x v="1"/>
    <x v="1"/>
    <x v="0"/>
    <x v="4"/>
    <x v="1"/>
    <x v="1"/>
    <x v="1"/>
    <x v="1"/>
    <x v="0"/>
    <n v="0"/>
    <x v="0"/>
    <x v="0"/>
    <m/>
    <n v="76.3"/>
  </r>
  <r>
    <s v="USR-100761"/>
    <d v="2025-04-03T00:00:00"/>
    <x v="1"/>
    <x v="0"/>
    <x v="1"/>
    <x v="2"/>
    <x v="1"/>
    <x v="0"/>
    <x v="0"/>
    <x v="0"/>
    <x v="0"/>
    <n v="0"/>
    <x v="0"/>
    <x v="0"/>
    <m/>
    <n v="47.5"/>
  </r>
  <r>
    <s v="USR-100762"/>
    <d v="2025-03-26T00:00:00"/>
    <x v="1"/>
    <x v="3"/>
    <x v="1"/>
    <x v="2"/>
    <x v="1"/>
    <x v="0"/>
    <x v="0"/>
    <x v="0"/>
    <x v="0"/>
    <n v="0"/>
    <x v="0"/>
    <x v="0"/>
    <m/>
    <m/>
  </r>
  <r>
    <s v="USR-100763"/>
    <d v="2025-02-05T00:00:00"/>
    <x v="1"/>
    <x v="1"/>
    <x v="0"/>
    <x v="1"/>
    <x v="0"/>
    <x v="1"/>
    <x v="1"/>
    <x v="0"/>
    <x v="0"/>
    <n v="0"/>
    <x v="2"/>
    <x v="0"/>
    <m/>
    <n v="71.599999999999994"/>
  </r>
  <r>
    <s v="USR-100764"/>
    <d v="2025-05-08T00:00:00"/>
    <x v="1"/>
    <x v="3"/>
    <x v="1"/>
    <x v="4"/>
    <x v="0"/>
    <x v="1"/>
    <x v="1"/>
    <x v="0"/>
    <x v="0"/>
    <n v="0"/>
    <x v="0"/>
    <x v="0"/>
    <m/>
    <n v="55.8"/>
  </r>
  <r>
    <s v="USR-100765"/>
    <d v="2025-03-25T00:00:00"/>
    <x v="1"/>
    <x v="3"/>
    <x v="0"/>
    <x v="1"/>
    <x v="0"/>
    <x v="0"/>
    <x v="0"/>
    <x v="0"/>
    <x v="0"/>
    <n v="0"/>
    <x v="1"/>
    <x v="0"/>
    <m/>
    <n v="60.1"/>
  </r>
  <r>
    <s v="USR-100766"/>
    <d v="2025-01-14T00:00:00"/>
    <x v="1"/>
    <x v="1"/>
    <x v="3"/>
    <x v="0"/>
    <x v="0"/>
    <x v="1"/>
    <x v="1"/>
    <x v="1"/>
    <x v="0"/>
    <n v="0"/>
    <x v="1"/>
    <x v="0"/>
    <m/>
    <n v="59.3"/>
  </r>
  <r>
    <s v="USR-100767"/>
    <d v="2025-03-26T00:00:00"/>
    <x v="1"/>
    <x v="0"/>
    <x v="1"/>
    <x v="1"/>
    <x v="1"/>
    <x v="1"/>
    <x v="1"/>
    <x v="0"/>
    <x v="0"/>
    <n v="0"/>
    <x v="2"/>
    <x v="0"/>
    <m/>
    <n v="49.3"/>
  </r>
  <r>
    <s v="USR-100768"/>
    <d v="2025-01-16T00:00:00"/>
    <x v="1"/>
    <x v="2"/>
    <x v="1"/>
    <x v="3"/>
    <x v="1"/>
    <x v="1"/>
    <x v="0"/>
    <x v="0"/>
    <x v="0"/>
    <n v="0"/>
    <x v="0"/>
    <x v="0"/>
    <m/>
    <n v="75"/>
  </r>
  <r>
    <s v="USR-100769"/>
    <d v="2025-01-04T00:00:00"/>
    <x v="1"/>
    <x v="2"/>
    <x v="1"/>
    <x v="4"/>
    <x v="1"/>
    <x v="1"/>
    <x v="0"/>
    <x v="0"/>
    <x v="0"/>
    <n v="0"/>
    <x v="0"/>
    <x v="0"/>
    <m/>
    <n v="70.2"/>
  </r>
  <r>
    <s v="USR-100770"/>
    <d v="2025-02-09T00:00:00"/>
    <x v="1"/>
    <x v="3"/>
    <x v="0"/>
    <x v="1"/>
    <x v="2"/>
    <x v="1"/>
    <x v="1"/>
    <x v="1"/>
    <x v="0"/>
    <n v="0"/>
    <x v="0"/>
    <x v="0"/>
    <m/>
    <n v="56.6"/>
  </r>
  <r>
    <s v="USR-100771"/>
    <d v="2025-03-05T00:00:00"/>
    <x v="1"/>
    <x v="2"/>
    <x v="0"/>
    <x v="1"/>
    <x v="1"/>
    <x v="1"/>
    <x v="0"/>
    <x v="0"/>
    <x v="0"/>
    <n v="0"/>
    <x v="0"/>
    <x v="0"/>
    <m/>
    <n v="65.400000000000006"/>
  </r>
  <r>
    <s v="USR-100772"/>
    <d v="2025-03-10T00:00:00"/>
    <x v="1"/>
    <x v="2"/>
    <x v="1"/>
    <x v="3"/>
    <x v="0"/>
    <x v="1"/>
    <x v="0"/>
    <x v="0"/>
    <x v="0"/>
    <n v="0"/>
    <x v="0"/>
    <x v="0"/>
    <m/>
    <n v="47.6"/>
  </r>
  <r>
    <s v="USR-100773"/>
    <d v="2025-02-27T00:00:00"/>
    <x v="1"/>
    <x v="2"/>
    <x v="0"/>
    <x v="2"/>
    <x v="1"/>
    <x v="1"/>
    <x v="0"/>
    <x v="0"/>
    <x v="0"/>
    <n v="0"/>
    <x v="0"/>
    <x v="0"/>
    <m/>
    <n v="56.7"/>
  </r>
  <r>
    <s v="USR-100774"/>
    <d v="2025-03-10T00:00:00"/>
    <x v="1"/>
    <x v="0"/>
    <x v="0"/>
    <x v="3"/>
    <x v="0"/>
    <x v="1"/>
    <x v="1"/>
    <x v="0"/>
    <x v="0"/>
    <n v="0"/>
    <x v="0"/>
    <x v="0"/>
    <m/>
    <n v="71.400000000000006"/>
  </r>
  <r>
    <s v="USR-100775"/>
    <d v="2025-04-23T00:00:00"/>
    <x v="1"/>
    <x v="1"/>
    <x v="1"/>
    <x v="4"/>
    <x v="1"/>
    <x v="0"/>
    <x v="0"/>
    <x v="0"/>
    <x v="0"/>
    <n v="0"/>
    <x v="2"/>
    <x v="0"/>
    <m/>
    <n v="60.5"/>
  </r>
  <r>
    <s v="USR-100776"/>
    <d v="2025-04-12T00:00:00"/>
    <x v="1"/>
    <x v="0"/>
    <x v="0"/>
    <x v="2"/>
    <x v="1"/>
    <x v="1"/>
    <x v="0"/>
    <x v="0"/>
    <x v="0"/>
    <n v="0"/>
    <x v="0"/>
    <x v="0"/>
    <m/>
    <n v="46.7"/>
  </r>
  <r>
    <s v="USR-100777"/>
    <d v="2025-01-26T00:00:00"/>
    <x v="1"/>
    <x v="2"/>
    <x v="0"/>
    <x v="3"/>
    <x v="1"/>
    <x v="0"/>
    <x v="0"/>
    <x v="0"/>
    <x v="0"/>
    <n v="0"/>
    <x v="0"/>
    <x v="0"/>
    <m/>
    <n v="61"/>
  </r>
  <r>
    <s v="USR-100778"/>
    <d v="2025-05-24T00:00:00"/>
    <x v="1"/>
    <x v="1"/>
    <x v="2"/>
    <x v="2"/>
    <x v="1"/>
    <x v="0"/>
    <x v="0"/>
    <x v="0"/>
    <x v="0"/>
    <n v="0"/>
    <x v="0"/>
    <x v="0"/>
    <m/>
    <n v="60.9"/>
  </r>
  <r>
    <s v="USR-100779"/>
    <d v="2025-01-08T00:00:00"/>
    <x v="1"/>
    <x v="3"/>
    <x v="1"/>
    <x v="1"/>
    <x v="1"/>
    <x v="1"/>
    <x v="0"/>
    <x v="0"/>
    <x v="0"/>
    <n v="0"/>
    <x v="0"/>
    <x v="0"/>
    <m/>
    <n v="67.099999999999994"/>
  </r>
  <r>
    <s v="USR-100780"/>
    <d v="2025-04-15T00:00:00"/>
    <x v="1"/>
    <x v="0"/>
    <x v="1"/>
    <x v="3"/>
    <x v="1"/>
    <x v="1"/>
    <x v="1"/>
    <x v="0"/>
    <x v="0"/>
    <n v="0"/>
    <x v="0"/>
    <x v="0"/>
    <m/>
    <n v="59.6"/>
  </r>
  <r>
    <s v="USR-100781"/>
    <d v="2025-01-15T00:00:00"/>
    <x v="1"/>
    <x v="3"/>
    <x v="0"/>
    <x v="2"/>
    <x v="1"/>
    <x v="1"/>
    <x v="0"/>
    <x v="0"/>
    <x v="0"/>
    <n v="0"/>
    <x v="0"/>
    <x v="0"/>
    <m/>
    <n v="83.8"/>
  </r>
  <r>
    <s v="USR-100782"/>
    <d v="2025-02-28T00:00:00"/>
    <x v="1"/>
    <x v="0"/>
    <x v="1"/>
    <x v="1"/>
    <x v="0"/>
    <x v="1"/>
    <x v="1"/>
    <x v="1"/>
    <x v="0"/>
    <n v="0"/>
    <x v="0"/>
    <x v="0"/>
    <m/>
    <n v="70.8"/>
  </r>
  <r>
    <s v="USR-100783"/>
    <d v="2025-01-01T00:00:00"/>
    <x v="1"/>
    <x v="0"/>
    <x v="2"/>
    <x v="1"/>
    <x v="0"/>
    <x v="0"/>
    <x v="0"/>
    <x v="0"/>
    <x v="0"/>
    <n v="0"/>
    <x v="0"/>
    <x v="0"/>
    <m/>
    <n v="65.900000000000006"/>
  </r>
  <r>
    <s v="USR-100784"/>
    <d v="2025-04-17T00:00:00"/>
    <x v="1"/>
    <x v="1"/>
    <x v="1"/>
    <x v="3"/>
    <x v="1"/>
    <x v="1"/>
    <x v="0"/>
    <x v="0"/>
    <x v="0"/>
    <n v="0"/>
    <x v="0"/>
    <x v="0"/>
    <m/>
    <n v="58"/>
  </r>
  <r>
    <s v="USR-100785"/>
    <d v="2025-02-19T00:00:00"/>
    <x v="1"/>
    <x v="0"/>
    <x v="1"/>
    <x v="0"/>
    <x v="0"/>
    <x v="1"/>
    <x v="1"/>
    <x v="0"/>
    <x v="0"/>
    <n v="0"/>
    <x v="0"/>
    <x v="0"/>
    <m/>
    <n v="80.3"/>
  </r>
  <r>
    <s v="USR-100786"/>
    <d v="2025-03-14T00:00:00"/>
    <x v="1"/>
    <x v="0"/>
    <x v="0"/>
    <x v="1"/>
    <x v="1"/>
    <x v="1"/>
    <x v="0"/>
    <x v="0"/>
    <x v="0"/>
    <n v="0"/>
    <x v="0"/>
    <x v="0"/>
    <m/>
    <n v="55.7"/>
  </r>
  <r>
    <s v="USR-100787"/>
    <d v="2025-04-21T00:00:00"/>
    <x v="1"/>
    <x v="0"/>
    <x v="1"/>
    <x v="1"/>
    <x v="1"/>
    <x v="1"/>
    <x v="1"/>
    <x v="0"/>
    <x v="0"/>
    <n v="0"/>
    <x v="0"/>
    <x v="0"/>
    <m/>
    <n v="84.9"/>
  </r>
  <r>
    <s v="USR-100788"/>
    <d v="2025-02-14T00:00:00"/>
    <x v="1"/>
    <x v="0"/>
    <x v="1"/>
    <x v="1"/>
    <x v="1"/>
    <x v="1"/>
    <x v="0"/>
    <x v="0"/>
    <x v="0"/>
    <n v="0"/>
    <x v="0"/>
    <x v="0"/>
    <m/>
    <n v="63.3"/>
  </r>
  <r>
    <s v="USR-100789"/>
    <d v="2025-05-30T00:00:00"/>
    <x v="1"/>
    <x v="1"/>
    <x v="1"/>
    <x v="1"/>
    <x v="1"/>
    <x v="0"/>
    <x v="0"/>
    <x v="0"/>
    <x v="0"/>
    <n v="0"/>
    <x v="0"/>
    <x v="0"/>
    <m/>
    <n v="53.1"/>
  </r>
  <r>
    <s v="USR-100790"/>
    <d v="2025-01-20T00:00:00"/>
    <x v="1"/>
    <x v="1"/>
    <x v="1"/>
    <x v="1"/>
    <x v="1"/>
    <x v="0"/>
    <x v="0"/>
    <x v="0"/>
    <x v="0"/>
    <n v="0"/>
    <x v="0"/>
    <x v="0"/>
    <m/>
    <n v="66"/>
  </r>
  <r>
    <s v="USR-100791"/>
    <d v="2025-03-17T00:00:00"/>
    <x v="1"/>
    <x v="1"/>
    <x v="1"/>
    <x v="4"/>
    <x v="2"/>
    <x v="0"/>
    <x v="0"/>
    <x v="0"/>
    <x v="0"/>
    <n v="0"/>
    <x v="0"/>
    <x v="0"/>
    <m/>
    <n v="54.7"/>
  </r>
  <r>
    <s v="USR-100792"/>
    <d v="2025-03-04T00:00:00"/>
    <x v="1"/>
    <x v="1"/>
    <x v="1"/>
    <x v="4"/>
    <x v="1"/>
    <x v="1"/>
    <x v="1"/>
    <x v="0"/>
    <x v="0"/>
    <n v="0"/>
    <x v="1"/>
    <x v="0"/>
    <m/>
    <n v="41.2"/>
  </r>
  <r>
    <s v="USR-100793"/>
    <d v="2025-02-22T00:00:00"/>
    <x v="1"/>
    <x v="3"/>
    <x v="1"/>
    <x v="1"/>
    <x v="2"/>
    <x v="0"/>
    <x v="0"/>
    <x v="0"/>
    <x v="0"/>
    <n v="0"/>
    <x v="0"/>
    <x v="0"/>
    <m/>
    <n v="66.7"/>
  </r>
  <r>
    <s v="USR-100794"/>
    <d v="2025-05-02T00:00:00"/>
    <x v="1"/>
    <x v="0"/>
    <x v="1"/>
    <x v="2"/>
    <x v="2"/>
    <x v="0"/>
    <x v="0"/>
    <x v="0"/>
    <x v="0"/>
    <n v="0"/>
    <x v="0"/>
    <x v="0"/>
    <m/>
    <n v="39.4"/>
  </r>
  <r>
    <s v="USR-100795"/>
    <d v="2025-03-13T00:00:00"/>
    <x v="1"/>
    <x v="1"/>
    <x v="0"/>
    <x v="1"/>
    <x v="2"/>
    <x v="0"/>
    <x v="0"/>
    <x v="0"/>
    <x v="0"/>
    <n v="0"/>
    <x v="3"/>
    <x v="0"/>
    <m/>
    <n v="67"/>
  </r>
  <r>
    <s v="USR-100796"/>
    <d v="2025-05-31T00:00:00"/>
    <x v="1"/>
    <x v="3"/>
    <x v="1"/>
    <x v="1"/>
    <x v="0"/>
    <x v="1"/>
    <x v="0"/>
    <x v="0"/>
    <x v="0"/>
    <n v="0"/>
    <x v="0"/>
    <x v="0"/>
    <m/>
    <n v="50.4"/>
  </r>
  <r>
    <s v="USR-100797"/>
    <d v="2025-03-07T00:00:00"/>
    <x v="1"/>
    <x v="1"/>
    <x v="0"/>
    <x v="4"/>
    <x v="1"/>
    <x v="1"/>
    <x v="0"/>
    <x v="0"/>
    <x v="0"/>
    <n v="0"/>
    <x v="0"/>
    <x v="0"/>
    <m/>
    <n v="53.8"/>
  </r>
  <r>
    <s v="USR-100798"/>
    <d v="2025-02-22T00:00:00"/>
    <x v="1"/>
    <x v="1"/>
    <x v="1"/>
    <x v="2"/>
    <x v="0"/>
    <x v="0"/>
    <x v="0"/>
    <x v="0"/>
    <x v="0"/>
    <n v="0"/>
    <x v="1"/>
    <x v="0"/>
    <m/>
    <n v="82.7"/>
  </r>
  <r>
    <s v="USR-100799"/>
    <d v="2025-01-05T00:00:00"/>
    <x v="1"/>
    <x v="1"/>
    <x v="0"/>
    <x v="2"/>
    <x v="1"/>
    <x v="1"/>
    <x v="1"/>
    <x v="1"/>
    <x v="0"/>
    <n v="0"/>
    <x v="0"/>
    <x v="0"/>
    <m/>
    <n v="63.9"/>
  </r>
  <r>
    <s v="USR-100800"/>
    <d v="2025-01-21T00:00:00"/>
    <x v="1"/>
    <x v="1"/>
    <x v="1"/>
    <x v="3"/>
    <x v="1"/>
    <x v="1"/>
    <x v="0"/>
    <x v="0"/>
    <x v="0"/>
    <n v="0"/>
    <x v="0"/>
    <x v="0"/>
    <m/>
    <n v="61.9"/>
  </r>
  <r>
    <s v="USR-100801"/>
    <d v="2025-01-25T00:00:00"/>
    <x v="1"/>
    <x v="0"/>
    <x v="0"/>
    <x v="4"/>
    <x v="1"/>
    <x v="1"/>
    <x v="1"/>
    <x v="1"/>
    <x v="0"/>
    <n v="0"/>
    <x v="0"/>
    <x v="0"/>
    <m/>
    <n v="75"/>
  </r>
  <r>
    <s v="USR-100802"/>
    <d v="2025-04-04T00:00:00"/>
    <x v="1"/>
    <x v="1"/>
    <x v="1"/>
    <x v="2"/>
    <x v="0"/>
    <x v="1"/>
    <x v="1"/>
    <x v="1"/>
    <x v="0"/>
    <n v="0"/>
    <x v="0"/>
    <x v="0"/>
    <m/>
    <n v="43"/>
  </r>
  <r>
    <s v="USR-100803"/>
    <d v="2025-03-25T00:00:00"/>
    <x v="1"/>
    <x v="0"/>
    <x v="0"/>
    <x v="4"/>
    <x v="2"/>
    <x v="0"/>
    <x v="0"/>
    <x v="0"/>
    <x v="0"/>
    <n v="0"/>
    <x v="0"/>
    <x v="0"/>
    <m/>
    <n v="54.3"/>
  </r>
  <r>
    <s v="USR-100804"/>
    <d v="2025-03-19T00:00:00"/>
    <x v="1"/>
    <x v="1"/>
    <x v="1"/>
    <x v="4"/>
    <x v="1"/>
    <x v="0"/>
    <x v="0"/>
    <x v="0"/>
    <x v="0"/>
    <n v="0"/>
    <x v="2"/>
    <x v="0"/>
    <m/>
    <n v="44.3"/>
  </r>
  <r>
    <s v="USR-100805"/>
    <d v="2025-04-24T00:00:00"/>
    <x v="1"/>
    <x v="1"/>
    <x v="0"/>
    <x v="1"/>
    <x v="1"/>
    <x v="1"/>
    <x v="1"/>
    <x v="1"/>
    <x v="1"/>
    <n v="402.88"/>
    <x v="0"/>
    <x v="0"/>
    <n v="12"/>
    <n v="76"/>
  </r>
  <r>
    <s v="USR-100806"/>
    <d v="2025-04-04T00:00:00"/>
    <x v="1"/>
    <x v="3"/>
    <x v="2"/>
    <x v="1"/>
    <x v="1"/>
    <x v="1"/>
    <x v="0"/>
    <x v="0"/>
    <x v="0"/>
    <n v="0"/>
    <x v="2"/>
    <x v="0"/>
    <m/>
    <n v="65.3"/>
  </r>
  <r>
    <s v="USR-100807"/>
    <d v="2025-03-28T00:00:00"/>
    <x v="1"/>
    <x v="3"/>
    <x v="0"/>
    <x v="2"/>
    <x v="2"/>
    <x v="1"/>
    <x v="0"/>
    <x v="0"/>
    <x v="0"/>
    <n v="0"/>
    <x v="0"/>
    <x v="0"/>
    <m/>
    <n v="71.2"/>
  </r>
  <r>
    <s v="USR-100808"/>
    <d v="2025-05-15T00:00:00"/>
    <x v="1"/>
    <x v="3"/>
    <x v="2"/>
    <x v="2"/>
    <x v="1"/>
    <x v="1"/>
    <x v="0"/>
    <x v="0"/>
    <x v="0"/>
    <n v="0"/>
    <x v="0"/>
    <x v="0"/>
    <m/>
    <n v="77.900000000000006"/>
  </r>
  <r>
    <s v="USR-100809"/>
    <d v="2025-03-13T00:00:00"/>
    <x v="1"/>
    <x v="1"/>
    <x v="1"/>
    <x v="2"/>
    <x v="1"/>
    <x v="0"/>
    <x v="0"/>
    <x v="0"/>
    <x v="0"/>
    <n v="0"/>
    <x v="0"/>
    <x v="0"/>
    <m/>
    <n v="48.6"/>
  </r>
  <r>
    <s v="USR-100810"/>
    <d v="2025-03-26T00:00:00"/>
    <x v="1"/>
    <x v="0"/>
    <x v="1"/>
    <x v="4"/>
    <x v="2"/>
    <x v="1"/>
    <x v="0"/>
    <x v="0"/>
    <x v="0"/>
    <n v="0"/>
    <x v="0"/>
    <x v="0"/>
    <m/>
    <n v="61.9"/>
  </r>
  <r>
    <s v="USR-100811"/>
    <d v="2025-01-09T00:00:00"/>
    <x v="1"/>
    <x v="0"/>
    <x v="1"/>
    <x v="4"/>
    <x v="0"/>
    <x v="0"/>
    <x v="0"/>
    <x v="0"/>
    <x v="0"/>
    <n v="0"/>
    <x v="1"/>
    <x v="0"/>
    <m/>
    <n v="58.7"/>
  </r>
  <r>
    <s v="USR-100812"/>
    <d v="2025-05-06T00:00:00"/>
    <x v="1"/>
    <x v="3"/>
    <x v="0"/>
    <x v="2"/>
    <x v="1"/>
    <x v="1"/>
    <x v="0"/>
    <x v="0"/>
    <x v="0"/>
    <n v="0"/>
    <x v="0"/>
    <x v="0"/>
    <m/>
    <n v="69.599999999999994"/>
  </r>
  <r>
    <s v="USR-100813"/>
    <d v="2025-02-17T00:00:00"/>
    <x v="1"/>
    <x v="3"/>
    <x v="1"/>
    <x v="1"/>
    <x v="1"/>
    <x v="1"/>
    <x v="0"/>
    <x v="0"/>
    <x v="0"/>
    <n v="0"/>
    <x v="0"/>
    <x v="0"/>
    <m/>
    <n v="51.5"/>
  </r>
  <r>
    <s v="USR-100814"/>
    <d v="2025-04-05T00:00:00"/>
    <x v="1"/>
    <x v="2"/>
    <x v="1"/>
    <x v="2"/>
    <x v="1"/>
    <x v="1"/>
    <x v="1"/>
    <x v="1"/>
    <x v="1"/>
    <n v="277.69"/>
    <x v="3"/>
    <x v="0"/>
    <n v="8"/>
    <n v="46"/>
  </r>
  <r>
    <s v="USR-100815"/>
    <d v="2025-04-13T00:00:00"/>
    <x v="1"/>
    <x v="1"/>
    <x v="2"/>
    <x v="1"/>
    <x v="1"/>
    <x v="1"/>
    <x v="0"/>
    <x v="0"/>
    <x v="0"/>
    <n v="0"/>
    <x v="0"/>
    <x v="0"/>
    <m/>
    <n v="81.7"/>
  </r>
  <r>
    <s v="USR-100816"/>
    <d v="2025-05-20T00:00:00"/>
    <x v="1"/>
    <x v="2"/>
    <x v="0"/>
    <x v="3"/>
    <x v="1"/>
    <x v="1"/>
    <x v="0"/>
    <x v="0"/>
    <x v="0"/>
    <n v="0"/>
    <x v="0"/>
    <x v="0"/>
    <m/>
    <n v="48.3"/>
  </r>
  <r>
    <s v="USR-100817"/>
    <d v="2025-03-31T00:00:00"/>
    <x v="1"/>
    <x v="2"/>
    <x v="1"/>
    <x v="0"/>
    <x v="1"/>
    <x v="1"/>
    <x v="1"/>
    <x v="0"/>
    <x v="0"/>
    <n v="0"/>
    <x v="0"/>
    <x v="0"/>
    <m/>
    <n v="85.6"/>
  </r>
  <r>
    <s v="USR-100818"/>
    <d v="2025-04-03T00:00:00"/>
    <x v="1"/>
    <x v="1"/>
    <x v="2"/>
    <x v="2"/>
    <x v="0"/>
    <x v="1"/>
    <x v="0"/>
    <x v="0"/>
    <x v="0"/>
    <n v="0"/>
    <x v="0"/>
    <x v="0"/>
    <m/>
    <n v="53.8"/>
  </r>
  <r>
    <s v="USR-100819"/>
    <d v="2025-02-04T00:00:00"/>
    <x v="1"/>
    <x v="3"/>
    <x v="1"/>
    <x v="1"/>
    <x v="1"/>
    <x v="1"/>
    <x v="1"/>
    <x v="1"/>
    <x v="1"/>
    <n v="460.83"/>
    <x v="2"/>
    <x v="0"/>
    <n v="0"/>
    <n v="69.7"/>
  </r>
  <r>
    <s v="USR-100820"/>
    <d v="2025-05-19T00:00:00"/>
    <x v="1"/>
    <x v="2"/>
    <x v="1"/>
    <x v="1"/>
    <x v="1"/>
    <x v="1"/>
    <x v="0"/>
    <x v="0"/>
    <x v="0"/>
    <n v="0"/>
    <x v="0"/>
    <x v="0"/>
    <m/>
    <n v="74.8"/>
  </r>
  <r>
    <s v="USR-100821"/>
    <d v="2025-03-08T00:00:00"/>
    <x v="1"/>
    <x v="2"/>
    <x v="0"/>
    <x v="2"/>
    <x v="0"/>
    <x v="0"/>
    <x v="0"/>
    <x v="0"/>
    <x v="0"/>
    <n v="0"/>
    <x v="0"/>
    <x v="0"/>
    <m/>
    <n v="87.9"/>
  </r>
  <r>
    <s v="USR-100822"/>
    <d v="2025-05-10T00:00:00"/>
    <x v="1"/>
    <x v="0"/>
    <x v="1"/>
    <x v="4"/>
    <x v="0"/>
    <x v="1"/>
    <x v="0"/>
    <x v="0"/>
    <x v="0"/>
    <n v="0"/>
    <x v="1"/>
    <x v="0"/>
    <m/>
    <n v="49.1"/>
  </r>
  <r>
    <s v="USR-100823"/>
    <d v="2025-01-02T00:00:00"/>
    <x v="1"/>
    <x v="2"/>
    <x v="0"/>
    <x v="4"/>
    <x v="0"/>
    <x v="1"/>
    <x v="0"/>
    <x v="0"/>
    <x v="0"/>
    <n v="0"/>
    <x v="2"/>
    <x v="0"/>
    <m/>
    <n v="73"/>
  </r>
  <r>
    <s v="USR-100824"/>
    <d v="2025-01-17T00:00:00"/>
    <x v="1"/>
    <x v="1"/>
    <x v="1"/>
    <x v="1"/>
    <x v="0"/>
    <x v="0"/>
    <x v="0"/>
    <x v="0"/>
    <x v="0"/>
    <n v="0"/>
    <x v="0"/>
    <x v="0"/>
    <m/>
    <n v="79.5"/>
  </r>
  <r>
    <s v="USR-100825"/>
    <d v="2025-05-21T00:00:00"/>
    <x v="1"/>
    <x v="1"/>
    <x v="1"/>
    <x v="3"/>
    <x v="0"/>
    <x v="1"/>
    <x v="1"/>
    <x v="1"/>
    <x v="1"/>
    <n v="782.23"/>
    <x v="1"/>
    <x v="0"/>
    <n v="6"/>
    <n v="93.2"/>
  </r>
  <r>
    <s v="USR-100826"/>
    <d v="2025-05-25T00:00:00"/>
    <x v="1"/>
    <x v="2"/>
    <x v="0"/>
    <x v="3"/>
    <x v="1"/>
    <x v="1"/>
    <x v="0"/>
    <x v="0"/>
    <x v="0"/>
    <n v="0"/>
    <x v="3"/>
    <x v="0"/>
    <m/>
    <n v="77.5"/>
  </r>
  <r>
    <s v="USR-100827"/>
    <d v="2025-01-05T00:00:00"/>
    <x v="1"/>
    <x v="1"/>
    <x v="1"/>
    <x v="0"/>
    <x v="0"/>
    <x v="1"/>
    <x v="0"/>
    <x v="0"/>
    <x v="0"/>
    <n v="0"/>
    <x v="0"/>
    <x v="0"/>
    <m/>
    <n v="61"/>
  </r>
  <r>
    <s v="USR-100828"/>
    <d v="2025-02-24T00:00:00"/>
    <x v="1"/>
    <x v="3"/>
    <x v="0"/>
    <x v="1"/>
    <x v="1"/>
    <x v="1"/>
    <x v="1"/>
    <x v="0"/>
    <x v="0"/>
    <n v="0"/>
    <x v="0"/>
    <x v="0"/>
    <m/>
    <n v="64.900000000000006"/>
  </r>
  <r>
    <s v="USR-100829"/>
    <d v="2025-01-21T00:00:00"/>
    <x v="1"/>
    <x v="2"/>
    <x v="1"/>
    <x v="2"/>
    <x v="0"/>
    <x v="1"/>
    <x v="0"/>
    <x v="0"/>
    <x v="0"/>
    <n v="0"/>
    <x v="0"/>
    <x v="0"/>
    <m/>
    <n v="87.5"/>
  </r>
  <r>
    <s v="USR-100830"/>
    <d v="2025-04-24T00:00:00"/>
    <x v="1"/>
    <x v="0"/>
    <x v="1"/>
    <x v="1"/>
    <x v="0"/>
    <x v="1"/>
    <x v="1"/>
    <x v="1"/>
    <x v="1"/>
    <n v="1171.99"/>
    <x v="0"/>
    <x v="0"/>
    <n v="5"/>
    <n v="80.599999999999994"/>
  </r>
  <r>
    <s v="USR-100831"/>
    <d v="2025-01-07T00:00:00"/>
    <x v="1"/>
    <x v="1"/>
    <x v="0"/>
    <x v="1"/>
    <x v="1"/>
    <x v="1"/>
    <x v="0"/>
    <x v="0"/>
    <x v="0"/>
    <n v="0"/>
    <x v="0"/>
    <x v="0"/>
    <m/>
    <n v="66.900000000000006"/>
  </r>
  <r>
    <s v="USR-100832"/>
    <d v="2025-05-31T00:00:00"/>
    <x v="1"/>
    <x v="3"/>
    <x v="2"/>
    <x v="1"/>
    <x v="0"/>
    <x v="1"/>
    <x v="1"/>
    <x v="1"/>
    <x v="0"/>
    <n v="0"/>
    <x v="0"/>
    <x v="0"/>
    <m/>
    <n v="58.8"/>
  </r>
  <r>
    <s v="USR-100833"/>
    <d v="2025-04-02T00:00:00"/>
    <x v="1"/>
    <x v="0"/>
    <x v="0"/>
    <x v="1"/>
    <x v="0"/>
    <x v="1"/>
    <x v="1"/>
    <x v="1"/>
    <x v="1"/>
    <n v="1010.4"/>
    <x v="0"/>
    <x v="0"/>
    <n v="4"/>
    <n v="42.9"/>
  </r>
  <r>
    <s v="USR-100834"/>
    <d v="2025-04-21T00:00:00"/>
    <x v="1"/>
    <x v="2"/>
    <x v="1"/>
    <x v="1"/>
    <x v="1"/>
    <x v="1"/>
    <x v="1"/>
    <x v="1"/>
    <x v="0"/>
    <n v="0"/>
    <x v="1"/>
    <x v="0"/>
    <m/>
    <n v="60.2"/>
  </r>
  <r>
    <s v="USR-100835"/>
    <d v="2025-05-05T00:00:00"/>
    <x v="1"/>
    <x v="2"/>
    <x v="1"/>
    <x v="2"/>
    <x v="0"/>
    <x v="1"/>
    <x v="0"/>
    <x v="0"/>
    <x v="0"/>
    <n v="0"/>
    <x v="0"/>
    <x v="0"/>
    <m/>
    <n v="42.7"/>
  </r>
  <r>
    <s v="USR-100836"/>
    <d v="2025-01-06T00:00:00"/>
    <x v="1"/>
    <x v="0"/>
    <x v="0"/>
    <x v="4"/>
    <x v="1"/>
    <x v="1"/>
    <x v="1"/>
    <x v="1"/>
    <x v="1"/>
    <n v="431.27"/>
    <x v="0"/>
    <x v="0"/>
    <n v="7"/>
    <n v="60.8"/>
  </r>
  <r>
    <s v="USR-100837"/>
    <d v="2025-04-24T00:00:00"/>
    <x v="1"/>
    <x v="3"/>
    <x v="1"/>
    <x v="3"/>
    <x v="1"/>
    <x v="1"/>
    <x v="1"/>
    <x v="1"/>
    <x v="1"/>
    <n v="428.8"/>
    <x v="0"/>
    <x v="0"/>
    <n v="9"/>
    <n v="79.3"/>
  </r>
  <r>
    <s v="USR-100838"/>
    <d v="2025-04-21T00:00:00"/>
    <x v="1"/>
    <x v="3"/>
    <x v="1"/>
    <x v="1"/>
    <x v="0"/>
    <x v="1"/>
    <x v="0"/>
    <x v="0"/>
    <x v="0"/>
    <n v="0"/>
    <x v="1"/>
    <x v="0"/>
    <m/>
    <n v="88.6"/>
  </r>
  <r>
    <s v="USR-100839"/>
    <d v="2025-02-09T00:00:00"/>
    <x v="1"/>
    <x v="1"/>
    <x v="1"/>
    <x v="1"/>
    <x v="0"/>
    <x v="1"/>
    <x v="1"/>
    <x v="1"/>
    <x v="0"/>
    <n v="0"/>
    <x v="0"/>
    <x v="0"/>
    <m/>
    <n v="63.1"/>
  </r>
  <r>
    <s v="USR-100840"/>
    <d v="2025-01-09T00:00:00"/>
    <x v="1"/>
    <x v="2"/>
    <x v="1"/>
    <x v="1"/>
    <x v="2"/>
    <x v="1"/>
    <x v="0"/>
    <x v="0"/>
    <x v="0"/>
    <n v="0"/>
    <x v="0"/>
    <x v="0"/>
    <m/>
    <n v="39.700000000000003"/>
  </r>
  <r>
    <s v="USR-100841"/>
    <d v="2025-02-16T00:00:00"/>
    <x v="1"/>
    <x v="0"/>
    <x v="1"/>
    <x v="2"/>
    <x v="0"/>
    <x v="0"/>
    <x v="0"/>
    <x v="0"/>
    <x v="0"/>
    <n v="0"/>
    <x v="0"/>
    <x v="0"/>
    <m/>
    <n v="67.2"/>
  </r>
  <r>
    <s v="USR-100842"/>
    <d v="2025-02-21T00:00:00"/>
    <x v="1"/>
    <x v="3"/>
    <x v="1"/>
    <x v="1"/>
    <x v="1"/>
    <x v="1"/>
    <x v="1"/>
    <x v="1"/>
    <x v="0"/>
    <n v="0"/>
    <x v="0"/>
    <x v="0"/>
    <m/>
    <n v="62.3"/>
  </r>
  <r>
    <s v="USR-100843"/>
    <d v="2025-02-08T00:00:00"/>
    <x v="1"/>
    <x v="3"/>
    <x v="1"/>
    <x v="1"/>
    <x v="2"/>
    <x v="1"/>
    <x v="0"/>
    <x v="0"/>
    <x v="0"/>
    <n v="0"/>
    <x v="0"/>
    <x v="0"/>
    <m/>
    <m/>
  </r>
  <r>
    <s v="USR-100844"/>
    <d v="2025-01-22T00:00:00"/>
    <x v="1"/>
    <x v="3"/>
    <x v="1"/>
    <x v="2"/>
    <x v="2"/>
    <x v="0"/>
    <x v="0"/>
    <x v="0"/>
    <x v="0"/>
    <n v="0"/>
    <x v="0"/>
    <x v="0"/>
    <m/>
    <n v="60.7"/>
  </r>
  <r>
    <s v="USR-100845"/>
    <d v="2025-04-01T00:00:00"/>
    <x v="1"/>
    <x v="1"/>
    <x v="1"/>
    <x v="1"/>
    <x v="0"/>
    <x v="1"/>
    <x v="0"/>
    <x v="0"/>
    <x v="0"/>
    <n v="0"/>
    <x v="0"/>
    <x v="0"/>
    <m/>
    <n v="61.5"/>
  </r>
  <r>
    <s v="USR-100846"/>
    <d v="2025-01-21T00:00:00"/>
    <x v="1"/>
    <x v="0"/>
    <x v="1"/>
    <x v="2"/>
    <x v="0"/>
    <x v="1"/>
    <x v="0"/>
    <x v="0"/>
    <x v="0"/>
    <n v="0"/>
    <x v="0"/>
    <x v="0"/>
    <m/>
    <n v="75"/>
  </r>
  <r>
    <s v="USR-100847"/>
    <d v="2025-01-02T00:00:00"/>
    <x v="1"/>
    <x v="2"/>
    <x v="0"/>
    <x v="1"/>
    <x v="1"/>
    <x v="1"/>
    <x v="1"/>
    <x v="0"/>
    <x v="0"/>
    <n v="0"/>
    <x v="0"/>
    <x v="0"/>
    <m/>
    <n v="51.9"/>
  </r>
  <r>
    <s v="USR-100848"/>
    <d v="2025-05-12T00:00:00"/>
    <x v="1"/>
    <x v="3"/>
    <x v="0"/>
    <x v="2"/>
    <x v="1"/>
    <x v="0"/>
    <x v="0"/>
    <x v="0"/>
    <x v="0"/>
    <n v="0"/>
    <x v="0"/>
    <x v="0"/>
    <m/>
    <n v="34.5"/>
  </r>
  <r>
    <s v="USR-100849"/>
    <d v="2025-03-05T00:00:00"/>
    <x v="1"/>
    <x v="3"/>
    <x v="1"/>
    <x v="4"/>
    <x v="0"/>
    <x v="0"/>
    <x v="0"/>
    <x v="0"/>
    <x v="0"/>
    <n v="0"/>
    <x v="0"/>
    <x v="0"/>
    <m/>
    <n v="54.5"/>
  </r>
  <r>
    <s v="USR-100850"/>
    <d v="2025-01-24T00:00:00"/>
    <x v="1"/>
    <x v="2"/>
    <x v="1"/>
    <x v="1"/>
    <x v="1"/>
    <x v="0"/>
    <x v="0"/>
    <x v="0"/>
    <x v="0"/>
    <n v="0"/>
    <x v="0"/>
    <x v="0"/>
    <m/>
    <n v="46"/>
  </r>
  <r>
    <s v="USR-100851"/>
    <d v="2025-01-31T00:00:00"/>
    <x v="1"/>
    <x v="2"/>
    <x v="0"/>
    <x v="0"/>
    <x v="1"/>
    <x v="1"/>
    <x v="1"/>
    <x v="1"/>
    <x v="0"/>
    <n v="0"/>
    <x v="0"/>
    <x v="0"/>
    <m/>
    <n v="88.4"/>
  </r>
  <r>
    <s v="USR-100852"/>
    <d v="2025-01-24T00:00:00"/>
    <x v="1"/>
    <x v="0"/>
    <x v="2"/>
    <x v="1"/>
    <x v="0"/>
    <x v="1"/>
    <x v="0"/>
    <x v="0"/>
    <x v="0"/>
    <n v="0"/>
    <x v="0"/>
    <x v="0"/>
    <m/>
    <n v="69.5"/>
  </r>
  <r>
    <s v="USR-100853"/>
    <d v="2025-02-14T00:00:00"/>
    <x v="1"/>
    <x v="0"/>
    <x v="0"/>
    <x v="3"/>
    <x v="0"/>
    <x v="1"/>
    <x v="1"/>
    <x v="1"/>
    <x v="0"/>
    <n v="0"/>
    <x v="0"/>
    <x v="0"/>
    <m/>
    <n v="74.2"/>
  </r>
  <r>
    <s v="USR-100854"/>
    <d v="2025-05-27T00:00:00"/>
    <x v="1"/>
    <x v="0"/>
    <x v="1"/>
    <x v="1"/>
    <x v="1"/>
    <x v="1"/>
    <x v="1"/>
    <x v="1"/>
    <x v="0"/>
    <n v="0"/>
    <x v="0"/>
    <x v="0"/>
    <m/>
    <n v="72.099999999999994"/>
  </r>
  <r>
    <s v="USR-100855"/>
    <d v="2025-02-28T00:00:00"/>
    <x v="1"/>
    <x v="0"/>
    <x v="1"/>
    <x v="2"/>
    <x v="1"/>
    <x v="1"/>
    <x v="1"/>
    <x v="1"/>
    <x v="1"/>
    <n v="398.33"/>
    <x v="0"/>
    <x v="0"/>
    <n v="5"/>
    <n v="85.1"/>
  </r>
  <r>
    <s v="USR-100856"/>
    <d v="2025-05-27T00:00:00"/>
    <x v="1"/>
    <x v="0"/>
    <x v="1"/>
    <x v="1"/>
    <x v="0"/>
    <x v="1"/>
    <x v="1"/>
    <x v="1"/>
    <x v="0"/>
    <n v="0"/>
    <x v="0"/>
    <x v="0"/>
    <m/>
    <n v="49.5"/>
  </r>
  <r>
    <s v="USR-100857"/>
    <d v="2025-05-17T00:00:00"/>
    <x v="1"/>
    <x v="3"/>
    <x v="1"/>
    <x v="2"/>
    <x v="2"/>
    <x v="0"/>
    <x v="0"/>
    <x v="0"/>
    <x v="0"/>
    <n v="0"/>
    <x v="1"/>
    <x v="0"/>
    <m/>
    <n v="79"/>
  </r>
  <r>
    <s v="USR-100858"/>
    <d v="2025-01-10T00:00:00"/>
    <x v="1"/>
    <x v="1"/>
    <x v="0"/>
    <x v="4"/>
    <x v="1"/>
    <x v="0"/>
    <x v="0"/>
    <x v="0"/>
    <x v="0"/>
    <n v="0"/>
    <x v="0"/>
    <x v="0"/>
    <m/>
    <n v="71.8"/>
  </r>
  <r>
    <s v="USR-100859"/>
    <d v="2025-04-22T00:00:00"/>
    <x v="1"/>
    <x v="0"/>
    <x v="1"/>
    <x v="0"/>
    <x v="0"/>
    <x v="1"/>
    <x v="1"/>
    <x v="1"/>
    <x v="1"/>
    <n v="1117.54"/>
    <x v="0"/>
    <x v="0"/>
    <n v="6"/>
    <n v="60.4"/>
  </r>
  <r>
    <s v="USR-100860"/>
    <d v="2025-03-02T00:00:00"/>
    <x v="1"/>
    <x v="3"/>
    <x v="0"/>
    <x v="1"/>
    <x v="0"/>
    <x v="1"/>
    <x v="0"/>
    <x v="0"/>
    <x v="0"/>
    <n v="0"/>
    <x v="2"/>
    <x v="0"/>
    <m/>
    <n v="38.299999999999997"/>
  </r>
  <r>
    <s v="USR-100861"/>
    <d v="2025-03-23T00:00:00"/>
    <x v="1"/>
    <x v="2"/>
    <x v="1"/>
    <x v="2"/>
    <x v="1"/>
    <x v="1"/>
    <x v="1"/>
    <x v="1"/>
    <x v="0"/>
    <n v="0"/>
    <x v="0"/>
    <x v="0"/>
    <m/>
    <n v="79.599999999999994"/>
  </r>
  <r>
    <s v="USR-100862"/>
    <d v="2025-02-12T00:00:00"/>
    <x v="1"/>
    <x v="2"/>
    <x v="1"/>
    <x v="0"/>
    <x v="1"/>
    <x v="1"/>
    <x v="1"/>
    <x v="1"/>
    <x v="0"/>
    <n v="0"/>
    <x v="0"/>
    <x v="0"/>
    <m/>
    <n v="71.900000000000006"/>
  </r>
  <r>
    <s v="USR-100863"/>
    <d v="2025-05-03T00:00:00"/>
    <x v="1"/>
    <x v="3"/>
    <x v="1"/>
    <x v="3"/>
    <x v="0"/>
    <x v="1"/>
    <x v="0"/>
    <x v="0"/>
    <x v="0"/>
    <n v="0"/>
    <x v="0"/>
    <x v="0"/>
    <m/>
    <n v="54.6"/>
  </r>
  <r>
    <s v="USR-100864"/>
    <d v="2025-03-28T00:00:00"/>
    <x v="1"/>
    <x v="0"/>
    <x v="0"/>
    <x v="4"/>
    <x v="1"/>
    <x v="1"/>
    <x v="0"/>
    <x v="0"/>
    <x v="0"/>
    <n v="0"/>
    <x v="3"/>
    <x v="0"/>
    <m/>
    <n v="49.3"/>
  </r>
  <r>
    <s v="USR-100865"/>
    <d v="2025-03-12T00:00:00"/>
    <x v="1"/>
    <x v="0"/>
    <x v="1"/>
    <x v="4"/>
    <x v="0"/>
    <x v="0"/>
    <x v="0"/>
    <x v="0"/>
    <x v="0"/>
    <n v="0"/>
    <x v="1"/>
    <x v="0"/>
    <m/>
    <n v="66.900000000000006"/>
  </r>
  <r>
    <s v="USR-100866"/>
    <d v="2025-04-27T00:00:00"/>
    <x v="1"/>
    <x v="2"/>
    <x v="1"/>
    <x v="2"/>
    <x v="1"/>
    <x v="1"/>
    <x v="0"/>
    <x v="0"/>
    <x v="0"/>
    <n v="0"/>
    <x v="1"/>
    <x v="0"/>
    <m/>
    <n v="77.8"/>
  </r>
  <r>
    <s v="USR-100867"/>
    <d v="2025-04-02T00:00:00"/>
    <x v="1"/>
    <x v="3"/>
    <x v="1"/>
    <x v="3"/>
    <x v="0"/>
    <x v="1"/>
    <x v="0"/>
    <x v="0"/>
    <x v="0"/>
    <n v="0"/>
    <x v="0"/>
    <x v="0"/>
    <m/>
    <n v="63"/>
  </r>
  <r>
    <s v="USR-100868"/>
    <d v="2025-04-21T00:00:00"/>
    <x v="1"/>
    <x v="0"/>
    <x v="1"/>
    <x v="4"/>
    <x v="1"/>
    <x v="0"/>
    <x v="0"/>
    <x v="0"/>
    <x v="0"/>
    <n v="0"/>
    <x v="0"/>
    <x v="0"/>
    <m/>
    <n v="79.8"/>
  </r>
  <r>
    <s v="USR-100869"/>
    <d v="2025-01-26T00:00:00"/>
    <x v="1"/>
    <x v="1"/>
    <x v="0"/>
    <x v="1"/>
    <x v="0"/>
    <x v="0"/>
    <x v="0"/>
    <x v="0"/>
    <x v="0"/>
    <n v="0"/>
    <x v="0"/>
    <x v="0"/>
    <m/>
    <n v="69.900000000000006"/>
  </r>
  <r>
    <s v="USR-100870"/>
    <d v="2025-01-06T00:00:00"/>
    <x v="1"/>
    <x v="1"/>
    <x v="1"/>
    <x v="1"/>
    <x v="1"/>
    <x v="0"/>
    <x v="0"/>
    <x v="0"/>
    <x v="0"/>
    <n v="0"/>
    <x v="1"/>
    <x v="0"/>
    <m/>
    <n v="66.400000000000006"/>
  </r>
  <r>
    <s v="USR-100871"/>
    <d v="2025-02-07T00:00:00"/>
    <x v="1"/>
    <x v="2"/>
    <x v="1"/>
    <x v="1"/>
    <x v="1"/>
    <x v="1"/>
    <x v="0"/>
    <x v="0"/>
    <x v="0"/>
    <n v="0"/>
    <x v="0"/>
    <x v="0"/>
    <m/>
    <n v="27.6"/>
  </r>
  <r>
    <s v="USR-100872"/>
    <d v="2025-05-07T00:00:00"/>
    <x v="1"/>
    <x v="1"/>
    <x v="1"/>
    <x v="1"/>
    <x v="2"/>
    <x v="1"/>
    <x v="0"/>
    <x v="0"/>
    <x v="0"/>
    <n v="0"/>
    <x v="1"/>
    <x v="0"/>
    <m/>
    <n v="56.5"/>
  </r>
  <r>
    <s v="USR-100873"/>
    <d v="2025-04-22T00:00:00"/>
    <x v="1"/>
    <x v="1"/>
    <x v="3"/>
    <x v="4"/>
    <x v="1"/>
    <x v="1"/>
    <x v="0"/>
    <x v="0"/>
    <x v="0"/>
    <n v="0"/>
    <x v="0"/>
    <x v="0"/>
    <m/>
    <n v="67.8"/>
  </r>
  <r>
    <s v="USR-100874"/>
    <d v="2025-05-04T00:00:00"/>
    <x v="1"/>
    <x v="1"/>
    <x v="0"/>
    <x v="4"/>
    <x v="1"/>
    <x v="1"/>
    <x v="0"/>
    <x v="0"/>
    <x v="0"/>
    <n v="0"/>
    <x v="0"/>
    <x v="0"/>
    <m/>
    <n v="80"/>
  </r>
  <r>
    <s v="USR-100875"/>
    <d v="2025-05-16T00:00:00"/>
    <x v="1"/>
    <x v="3"/>
    <x v="1"/>
    <x v="4"/>
    <x v="0"/>
    <x v="1"/>
    <x v="1"/>
    <x v="1"/>
    <x v="0"/>
    <n v="0"/>
    <x v="1"/>
    <x v="0"/>
    <m/>
    <n v="80.900000000000006"/>
  </r>
  <r>
    <s v="USR-100876"/>
    <d v="2025-02-11T00:00:00"/>
    <x v="1"/>
    <x v="1"/>
    <x v="1"/>
    <x v="2"/>
    <x v="1"/>
    <x v="0"/>
    <x v="0"/>
    <x v="0"/>
    <x v="0"/>
    <n v="0"/>
    <x v="0"/>
    <x v="0"/>
    <m/>
    <n v="34.5"/>
  </r>
  <r>
    <s v="USR-100877"/>
    <d v="2025-05-09T00:00:00"/>
    <x v="1"/>
    <x v="2"/>
    <x v="0"/>
    <x v="1"/>
    <x v="2"/>
    <x v="1"/>
    <x v="0"/>
    <x v="0"/>
    <x v="0"/>
    <n v="0"/>
    <x v="0"/>
    <x v="0"/>
    <m/>
    <n v="73.5"/>
  </r>
  <r>
    <s v="USR-100878"/>
    <d v="2025-02-09T00:00:00"/>
    <x v="1"/>
    <x v="3"/>
    <x v="0"/>
    <x v="2"/>
    <x v="1"/>
    <x v="1"/>
    <x v="1"/>
    <x v="0"/>
    <x v="0"/>
    <n v="0"/>
    <x v="0"/>
    <x v="0"/>
    <m/>
    <n v="70"/>
  </r>
  <r>
    <s v="USR-100879"/>
    <d v="2025-05-22T00:00:00"/>
    <x v="1"/>
    <x v="1"/>
    <x v="1"/>
    <x v="4"/>
    <x v="0"/>
    <x v="0"/>
    <x v="0"/>
    <x v="0"/>
    <x v="0"/>
    <n v="0"/>
    <x v="0"/>
    <x v="0"/>
    <m/>
    <n v="86.9"/>
  </r>
  <r>
    <s v="USR-100880"/>
    <d v="2025-05-24T00:00:00"/>
    <x v="1"/>
    <x v="2"/>
    <x v="1"/>
    <x v="4"/>
    <x v="0"/>
    <x v="0"/>
    <x v="0"/>
    <x v="0"/>
    <x v="0"/>
    <n v="0"/>
    <x v="0"/>
    <x v="0"/>
    <m/>
    <n v="66.900000000000006"/>
  </r>
  <r>
    <s v="USR-100881"/>
    <d v="2025-04-27T00:00:00"/>
    <x v="1"/>
    <x v="3"/>
    <x v="0"/>
    <x v="4"/>
    <x v="0"/>
    <x v="1"/>
    <x v="1"/>
    <x v="1"/>
    <x v="0"/>
    <n v="0"/>
    <x v="0"/>
    <x v="0"/>
    <m/>
    <n v="58.3"/>
  </r>
  <r>
    <s v="USR-100882"/>
    <d v="2025-03-19T00:00:00"/>
    <x v="1"/>
    <x v="2"/>
    <x v="1"/>
    <x v="2"/>
    <x v="1"/>
    <x v="1"/>
    <x v="0"/>
    <x v="0"/>
    <x v="0"/>
    <n v="0"/>
    <x v="0"/>
    <x v="0"/>
    <m/>
    <n v="45"/>
  </r>
  <r>
    <s v="USR-100883"/>
    <d v="2025-05-20T00:00:00"/>
    <x v="1"/>
    <x v="3"/>
    <x v="1"/>
    <x v="1"/>
    <x v="2"/>
    <x v="0"/>
    <x v="0"/>
    <x v="0"/>
    <x v="0"/>
    <n v="0"/>
    <x v="0"/>
    <x v="0"/>
    <m/>
    <n v="60.8"/>
  </r>
  <r>
    <s v="USR-100884"/>
    <d v="2025-05-10T00:00:00"/>
    <x v="1"/>
    <x v="0"/>
    <x v="1"/>
    <x v="0"/>
    <x v="2"/>
    <x v="1"/>
    <x v="0"/>
    <x v="0"/>
    <x v="0"/>
    <n v="0"/>
    <x v="4"/>
    <x v="0"/>
    <m/>
    <n v="53.7"/>
  </r>
  <r>
    <s v="USR-100885"/>
    <d v="2025-03-29T00:00:00"/>
    <x v="1"/>
    <x v="2"/>
    <x v="1"/>
    <x v="4"/>
    <x v="1"/>
    <x v="1"/>
    <x v="1"/>
    <x v="1"/>
    <x v="0"/>
    <n v="0"/>
    <x v="0"/>
    <x v="0"/>
    <m/>
    <n v="48.8"/>
  </r>
  <r>
    <s v="USR-100886"/>
    <d v="2025-04-03T00:00:00"/>
    <x v="1"/>
    <x v="1"/>
    <x v="0"/>
    <x v="3"/>
    <x v="0"/>
    <x v="0"/>
    <x v="0"/>
    <x v="0"/>
    <x v="0"/>
    <n v="0"/>
    <x v="0"/>
    <x v="0"/>
    <m/>
    <n v="52.9"/>
  </r>
  <r>
    <s v="USR-100887"/>
    <d v="2025-05-30T00:00:00"/>
    <x v="1"/>
    <x v="3"/>
    <x v="1"/>
    <x v="0"/>
    <x v="1"/>
    <x v="1"/>
    <x v="0"/>
    <x v="0"/>
    <x v="0"/>
    <n v="0"/>
    <x v="0"/>
    <x v="0"/>
    <m/>
    <n v="42.4"/>
  </r>
  <r>
    <s v="USR-100888"/>
    <d v="2025-04-06T00:00:00"/>
    <x v="1"/>
    <x v="2"/>
    <x v="0"/>
    <x v="0"/>
    <x v="1"/>
    <x v="1"/>
    <x v="0"/>
    <x v="0"/>
    <x v="0"/>
    <n v="0"/>
    <x v="0"/>
    <x v="0"/>
    <m/>
    <n v="58.7"/>
  </r>
  <r>
    <s v="USR-100889"/>
    <d v="2025-03-14T00:00:00"/>
    <x v="1"/>
    <x v="0"/>
    <x v="1"/>
    <x v="3"/>
    <x v="1"/>
    <x v="1"/>
    <x v="1"/>
    <x v="1"/>
    <x v="1"/>
    <n v="2064.5500000000002"/>
    <x v="0"/>
    <x v="0"/>
    <n v="1"/>
    <n v="67.8"/>
  </r>
  <r>
    <s v="USR-100890"/>
    <d v="2025-02-24T00:00:00"/>
    <x v="1"/>
    <x v="3"/>
    <x v="0"/>
    <x v="2"/>
    <x v="0"/>
    <x v="1"/>
    <x v="0"/>
    <x v="0"/>
    <x v="0"/>
    <n v="0"/>
    <x v="0"/>
    <x v="0"/>
    <m/>
    <n v="62.6"/>
  </r>
  <r>
    <s v="USR-100891"/>
    <d v="2025-03-04T00:00:00"/>
    <x v="1"/>
    <x v="1"/>
    <x v="1"/>
    <x v="0"/>
    <x v="0"/>
    <x v="1"/>
    <x v="0"/>
    <x v="0"/>
    <x v="0"/>
    <n v="0"/>
    <x v="0"/>
    <x v="0"/>
    <m/>
    <n v="82.4"/>
  </r>
  <r>
    <s v="USR-100892"/>
    <d v="2025-04-02T00:00:00"/>
    <x v="1"/>
    <x v="0"/>
    <x v="1"/>
    <x v="1"/>
    <x v="1"/>
    <x v="1"/>
    <x v="1"/>
    <x v="1"/>
    <x v="0"/>
    <n v="0"/>
    <x v="0"/>
    <x v="0"/>
    <m/>
    <n v="50.4"/>
  </r>
  <r>
    <s v="USR-100893"/>
    <d v="2025-05-11T00:00:00"/>
    <x v="1"/>
    <x v="0"/>
    <x v="1"/>
    <x v="0"/>
    <x v="2"/>
    <x v="0"/>
    <x v="0"/>
    <x v="0"/>
    <x v="0"/>
    <n v="0"/>
    <x v="0"/>
    <x v="0"/>
    <m/>
    <n v="68.400000000000006"/>
  </r>
  <r>
    <s v="USR-100894"/>
    <d v="2025-05-10T00:00:00"/>
    <x v="1"/>
    <x v="1"/>
    <x v="2"/>
    <x v="2"/>
    <x v="0"/>
    <x v="1"/>
    <x v="1"/>
    <x v="1"/>
    <x v="0"/>
    <n v="0"/>
    <x v="0"/>
    <x v="0"/>
    <m/>
    <n v="58.8"/>
  </r>
  <r>
    <s v="USR-100895"/>
    <d v="2025-05-06T00:00:00"/>
    <x v="1"/>
    <x v="1"/>
    <x v="1"/>
    <x v="3"/>
    <x v="1"/>
    <x v="1"/>
    <x v="1"/>
    <x v="0"/>
    <x v="0"/>
    <n v="0"/>
    <x v="2"/>
    <x v="0"/>
    <m/>
    <n v="28.3"/>
  </r>
  <r>
    <s v="USR-100896"/>
    <d v="2025-02-11T00:00:00"/>
    <x v="1"/>
    <x v="1"/>
    <x v="0"/>
    <x v="2"/>
    <x v="1"/>
    <x v="1"/>
    <x v="1"/>
    <x v="0"/>
    <x v="0"/>
    <n v="0"/>
    <x v="0"/>
    <x v="0"/>
    <m/>
    <n v="44.1"/>
  </r>
  <r>
    <s v="USR-100897"/>
    <d v="2025-05-09T00:00:00"/>
    <x v="1"/>
    <x v="3"/>
    <x v="1"/>
    <x v="2"/>
    <x v="2"/>
    <x v="1"/>
    <x v="1"/>
    <x v="0"/>
    <x v="0"/>
    <n v="0"/>
    <x v="0"/>
    <x v="0"/>
    <m/>
    <n v="66.7"/>
  </r>
  <r>
    <s v="USR-100898"/>
    <d v="2025-02-02T00:00:00"/>
    <x v="1"/>
    <x v="3"/>
    <x v="1"/>
    <x v="5"/>
    <x v="1"/>
    <x v="1"/>
    <x v="0"/>
    <x v="0"/>
    <x v="0"/>
    <n v="0"/>
    <x v="0"/>
    <x v="0"/>
    <m/>
    <n v="100"/>
  </r>
  <r>
    <s v="USR-100899"/>
    <d v="2025-04-03T00:00:00"/>
    <x v="1"/>
    <x v="3"/>
    <x v="1"/>
    <x v="4"/>
    <x v="1"/>
    <x v="1"/>
    <x v="1"/>
    <x v="0"/>
    <x v="0"/>
    <n v="0"/>
    <x v="0"/>
    <x v="0"/>
    <m/>
    <n v="87.5"/>
  </r>
  <r>
    <s v="USR-100900"/>
    <d v="2025-02-15T00:00:00"/>
    <x v="1"/>
    <x v="0"/>
    <x v="0"/>
    <x v="1"/>
    <x v="0"/>
    <x v="1"/>
    <x v="0"/>
    <x v="0"/>
    <x v="0"/>
    <n v="0"/>
    <x v="2"/>
    <x v="0"/>
    <m/>
    <n v="65.400000000000006"/>
  </r>
  <r>
    <s v="USR-100901"/>
    <d v="2025-04-18T00:00:00"/>
    <x v="1"/>
    <x v="3"/>
    <x v="0"/>
    <x v="1"/>
    <x v="1"/>
    <x v="1"/>
    <x v="0"/>
    <x v="0"/>
    <x v="0"/>
    <n v="0"/>
    <x v="0"/>
    <x v="0"/>
    <m/>
    <n v="22.9"/>
  </r>
  <r>
    <s v="USR-100902"/>
    <d v="2025-03-14T00:00:00"/>
    <x v="1"/>
    <x v="1"/>
    <x v="0"/>
    <x v="1"/>
    <x v="2"/>
    <x v="0"/>
    <x v="0"/>
    <x v="0"/>
    <x v="0"/>
    <n v="0"/>
    <x v="0"/>
    <x v="0"/>
    <m/>
    <n v="64.599999999999994"/>
  </r>
  <r>
    <s v="USR-100903"/>
    <d v="2025-03-29T00:00:00"/>
    <x v="1"/>
    <x v="3"/>
    <x v="1"/>
    <x v="3"/>
    <x v="1"/>
    <x v="1"/>
    <x v="0"/>
    <x v="0"/>
    <x v="0"/>
    <n v="0"/>
    <x v="2"/>
    <x v="0"/>
    <m/>
    <n v="54.4"/>
  </r>
  <r>
    <s v="USR-100904"/>
    <d v="2025-02-13T00:00:00"/>
    <x v="1"/>
    <x v="0"/>
    <x v="0"/>
    <x v="1"/>
    <x v="1"/>
    <x v="1"/>
    <x v="1"/>
    <x v="1"/>
    <x v="0"/>
    <n v="0"/>
    <x v="0"/>
    <x v="0"/>
    <m/>
    <n v="56.8"/>
  </r>
  <r>
    <s v="USR-100905"/>
    <d v="2025-01-23T00:00:00"/>
    <x v="1"/>
    <x v="3"/>
    <x v="1"/>
    <x v="2"/>
    <x v="1"/>
    <x v="1"/>
    <x v="1"/>
    <x v="1"/>
    <x v="1"/>
    <n v="341.38"/>
    <x v="0"/>
    <x v="0"/>
    <n v="2"/>
    <n v="63.6"/>
  </r>
  <r>
    <s v="USR-100906"/>
    <d v="2025-02-24T00:00:00"/>
    <x v="1"/>
    <x v="2"/>
    <x v="1"/>
    <x v="4"/>
    <x v="1"/>
    <x v="1"/>
    <x v="0"/>
    <x v="0"/>
    <x v="0"/>
    <n v="0"/>
    <x v="0"/>
    <x v="0"/>
    <m/>
    <n v="58.2"/>
  </r>
  <r>
    <s v="USR-100907"/>
    <d v="2025-02-28T00:00:00"/>
    <x v="1"/>
    <x v="1"/>
    <x v="1"/>
    <x v="2"/>
    <x v="1"/>
    <x v="1"/>
    <x v="1"/>
    <x v="0"/>
    <x v="0"/>
    <n v="0"/>
    <x v="0"/>
    <x v="0"/>
    <m/>
    <n v="54.6"/>
  </r>
  <r>
    <s v="USR-100908"/>
    <d v="2025-01-07T00:00:00"/>
    <x v="1"/>
    <x v="1"/>
    <x v="2"/>
    <x v="1"/>
    <x v="0"/>
    <x v="1"/>
    <x v="0"/>
    <x v="0"/>
    <x v="0"/>
    <n v="0"/>
    <x v="0"/>
    <x v="0"/>
    <m/>
    <n v="81.900000000000006"/>
  </r>
  <r>
    <s v="USR-100909"/>
    <d v="2025-03-21T00:00:00"/>
    <x v="1"/>
    <x v="1"/>
    <x v="0"/>
    <x v="0"/>
    <x v="1"/>
    <x v="1"/>
    <x v="0"/>
    <x v="0"/>
    <x v="0"/>
    <n v="0"/>
    <x v="3"/>
    <x v="0"/>
    <m/>
    <n v="53.3"/>
  </r>
  <r>
    <s v="USR-100910"/>
    <d v="2025-02-18T00:00:00"/>
    <x v="1"/>
    <x v="0"/>
    <x v="0"/>
    <x v="1"/>
    <x v="0"/>
    <x v="0"/>
    <x v="0"/>
    <x v="0"/>
    <x v="0"/>
    <n v="0"/>
    <x v="0"/>
    <x v="0"/>
    <m/>
    <n v="54.2"/>
  </r>
  <r>
    <s v="USR-100911"/>
    <d v="2025-01-05T00:00:00"/>
    <x v="1"/>
    <x v="0"/>
    <x v="1"/>
    <x v="2"/>
    <x v="1"/>
    <x v="1"/>
    <x v="1"/>
    <x v="0"/>
    <x v="0"/>
    <n v="0"/>
    <x v="0"/>
    <x v="0"/>
    <m/>
    <n v="65.599999999999994"/>
  </r>
  <r>
    <s v="USR-100912"/>
    <d v="2025-03-11T00:00:00"/>
    <x v="1"/>
    <x v="2"/>
    <x v="0"/>
    <x v="1"/>
    <x v="0"/>
    <x v="1"/>
    <x v="0"/>
    <x v="0"/>
    <x v="0"/>
    <n v="0"/>
    <x v="1"/>
    <x v="0"/>
    <m/>
    <n v="56.5"/>
  </r>
  <r>
    <s v="USR-100913"/>
    <d v="2025-01-09T00:00:00"/>
    <x v="1"/>
    <x v="0"/>
    <x v="0"/>
    <x v="1"/>
    <x v="0"/>
    <x v="1"/>
    <x v="0"/>
    <x v="0"/>
    <x v="0"/>
    <n v="0"/>
    <x v="0"/>
    <x v="0"/>
    <m/>
    <n v="59.7"/>
  </r>
  <r>
    <s v="USR-100914"/>
    <d v="2025-01-08T00:00:00"/>
    <x v="1"/>
    <x v="3"/>
    <x v="1"/>
    <x v="1"/>
    <x v="1"/>
    <x v="1"/>
    <x v="1"/>
    <x v="1"/>
    <x v="0"/>
    <n v="0"/>
    <x v="0"/>
    <x v="0"/>
    <m/>
    <n v="72.5"/>
  </r>
  <r>
    <s v="USR-100915"/>
    <d v="2025-05-01T00:00:00"/>
    <x v="1"/>
    <x v="2"/>
    <x v="0"/>
    <x v="2"/>
    <x v="1"/>
    <x v="1"/>
    <x v="0"/>
    <x v="0"/>
    <x v="0"/>
    <n v="0"/>
    <x v="0"/>
    <x v="0"/>
    <m/>
    <n v="64.3"/>
  </r>
  <r>
    <s v="USR-100916"/>
    <d v="2025-03-03T00:00:00"/>
    <x v="1"/>
    <x v="3"/>
    <x v="1"/>
    <x v="4"/>
    <x v="1"/>
    <x v="1"/>
    <x v="0"/>
    <x v="0"/>
    <x v="0"/>
    <n v="0"/>
    <x v="0"/>
    <x v="0"/>
    <m/>
    <n v="64.5"/>
  </r>
  <r>
    <s v="USR-100917"/>
    <d v="2025-02-23T00:00:00"/>
    <x v="1"/>
    <x v="1"/>
    <x v="0"/>
    <x v="4"/>
    <x v="0"/>
    <x v="1"/>
    <x v="1"/>
    <x v="1"/>
    <x v="0"/>
    <n v="0"/>
    <x v="0"/>
    <x v="0"/>
    <m/>
    <n v="70.599999999999994"/>
  </r>
  <r>
    <s v="USR-100918"/>
    <d v="2025-02-17T00:00:00"/>
    <x v="1"/>
    <x v="3"/>
    <x v="0"/>
    <x v="1"/>
    <x v="0"/>
    <x v="0"/>
    <x v="0"/>
    <x v="0"/>
    <x v="0"/>
    <n v="0"/>
    <x v="0"/>
    <x v="0"/>
    <m/>
    <n v="58.4"/>
  </r>
  <r>
    <s v="USR-100919"/>
    <d v="2025-05-21T00:00:00"/>
    <x v="1"/>
    <x v="2"/>
    <x v="1"/>
    <x v="1"/>
    <x v="0"/>
    <x v="1"/>
    <x v="0"/>
    <x v="0"/>
    <x v="0"/>
    <n v="0"/>
    <x v="0"/>
    <x v="0"/>
    <m/>
    <n v="56.6"/>
  </r>
  <r>
    <s v="USR-100920"/>
    <d v="2025-01-30T00:00:00"/>
    <x v="1"/>
    <x v="3"/>
    <x v="1"/>
    <x v="1"/>
    <x v="1"/>
    <x v="1"/>
    <x v="0"/>
    <x v="0"/>
    <x v="0"/>
    <n v="0"/>
    <x v="0"/>
    <x v="0"/>
    <m/>
    <n v="61.8"/>
  </r>
  <r>
    <s v="USR-100921"/>
    <d v="2025-03-20T00:00:00"/>
    <x v="1"/>
    <x v="1"/>
    <x v="1"/>
    <x v="0"/>
    <x v="1"/>
    <x v="1"/>
    <x v="1"/>
    <x v="1"/>
    <x v="1"/>
    <n v="513.52"/>
    <x v="0"/>
    <x v="0"/>
    <n v="8"/>
    <n v="43.4"/>
  </r>
  <r>
    <s v="USR-100922"/>
    <d v="2025-04-10T00:00:00"/>
    <x v="1"/>
    <x v="1"/>
    <x v="2"/>
    <x v="2"/>
    <x v="1"/>
    <x v="0"/>
    <x v="0"/>
    <x v="0"/>
    <x v="0"/>
    <n v="0"/>
    <x v="0"/>
    <x v="0"/>
    <m/>
    <n v="43"/>
  </r>
  <r>
    <s v="USR-100923"/>
    <d v="2025-03-07T00:00:00"/>
    <x v="1"/>
    <x v="0"/>
    <x v="0"/>
    <x v="1"/>
    <x v="1"/>
    <x v="1"/>
    <x v="1"/>
    <x v="1"/>
    <x v="0"/>
    <n v="0"/>
    <x v="0"/>
    <x v="0"/>
    <m/>
    <n v="51.1"/>
  </r>
  <r>
    <s v="USR-100924"/>
    <d v="2025-03-12T00:00:00"/>
    <x v="1"/>
    <x v="1"/>
    <x v="1"/>
    <x v="0"/>
    <x v="0"/>
    <x v="1"/>
    <x v="0"/>
    <x v="0"/>
    <x v="0"/>
    <n v="0"/>
    <x v="0"/>
    <x v="0"/>
    <m/>
    <n v="48.8"/>
  </r>
  <r>
    <s v="USR-100925"/>
    <d v="2025-02-24T00:00:00"/>
    <x v="1"/>
    <x v="2"/>
    <x v="1"/>
    <x v="3"/>
    <x v="1"/>
    <x v="0"/>
    <x v="0"/>
    <x v="0"/>
    <x v="0"/>
    <n v="0"/>
    <x v="0"/>
    <x v="0"/>
    <m/>
    <n v="73.2"/>
  </r>
  <r>
    <s v="USR-100926"/>
    <d v="2025-01-15T00:00:00"/>
    <x v="1"/>
    <x v="2"/>
    <x v="1"/>
    <x v="3"/>
    <x v="1"/>
    <x v="1"/>
    <x v="1"/>
    <x v="1"/>
    <x v="0"/>
    <n v="0"/>
    <x v="0"/>
    <x v="0"/>
    <m/>
    <n v="80"/>
  </r>
  <r>
    <s v="USR-100927"/>
    <d v="2025-01-07T00:00:00"/>
    <x v="1"/>
    <x v="0"/>
    <x v="0"/>
    <x v="2"/>
    <x v="1"/>
    <x v="1"/>
    <x v="0"/>
    <x v="0"/>
    <x v="0"/>
    <n v="0"/>
    <x v="0"/>
    <x v="0"/>
    <m/>
    <n v="52.3"/>
  </r>
  <r>
    <s v="USR-100928"/>
    <d v="2025-03-02T00:00:00"/>
    <x v="1"/>
    <x v="0"/>
    <x v="0"/>
    <x v="1"/>
    <x v="1"/>
    <x v="0"/>
    <x v="0"/>
    <x v="0"/>
    <x v="0"/>
    <n v="0"/>
    <x v="0"/>
    <x v="0"/>
    <m/>
    <n v="49.1"/>
  </r>
  <r>
    <s v="USR-100929"/>
    <d v="2025-01-05T00:00:00"/>
    <x v="1"/>
    <x v="3"/>
    <x v="0"/>
    <x v="3"/>
    <x v="0"/>
    <x v="0"/>
    <x v="0"/>
    <x v="0"/>
    <x v="0"/>
    <n v="0"/>
    <x v="0"/>
    <x v="0"/>
    <m/>
    <n v="45.3"/>
  </r>
  <r>
    <s v="USR-100930"/>
    <d v="2025-03-03T00:00:00"/>
    <x v="1"/>
    <x v="3"/>
    <x v="1"/>
    <x v="1"/>
    <x v="1"/>
    <x v="1"/>
    <x v="1"/>
    <x v="0"/>
    <x v="0"/>
    <n v="0"/>
    <x v="0"/>
    <x v="0"/>
    <m/>
    <n v="49.1"/>
  </r>
  <r>
    <s v="USR-100931"/>
    <d v="2025-03-31T00:00:00"/>
    <x v="1"/>
    <x v="2"/>
    <x v="0"/>
    <x v="3"/>
    <x v="1"/>
    <x v="1"/>
    <x v="1"/>
    <x v="1"/>
    <x v="1"/>
    <n v="476.44"/>
    <x v="0"/>
    <x v="0"/>
    <n v="3"/>
    <n v="88.6"/>
  </r>
  <r>
    <s v="USR-100932"/>
    <d v="2025-01-14T00:00:00"/>
    <x v="1"/>
    <x v="2"/>
    <x v="0"/>
    <x v="2"/>
    <x v="2"/>
    <x v="0"/>
    <x v="0"/>
    <x v="0"/>
    <x v="0"/>
    <n v="0"/>
    <x v="1"/>
    <x v="0"/>
    <m/>
    <n v="54.4"/>
  </r>
  <r>
    <s v="USR-100933"/>
    <d v="2025-01-15T00:00:00"/>
    <x v="1"/>
    <x v="1"/>
    <x v="0"/>
    <x v="2"/>
    <x v="2"/>
    <x v="1"/>
    <x v="0"/>
    <x v="0"/>
    <x v="0"/>
    <n v="0"/>
    <x v="0"/>
    <x v="0"/>
    <m/>
    <n v="72.900000000000006"/>
  </r>
  <r>
    <s v="USR-100934"/>
    <d v="2025-04-25T00:00:00"/>
    <x v="1"/>
    <x v="1"/>
    <x v="0"/>
    <x v="1"/>
    <x v="1"/>
    <x v="1"/>
    <x v="0"/>
    <x v="0"/>
    <x v="0"/>
    <n v="0"/>
    <x v="0"/>
    <x v="0"/>
    <m/>
    <n v="53.2"/>
  </r>
  <r>
    <s v="USR-100935"/>
    <d v="2025-03-21T00:00:00"/>
    <x v="1"/>
    <x v="2"/>
    <x v="1"/>
    <x v="1"/>
    <x v="0"/>
    <x v="1"/>
    <x v="1"/>
    <x v="0"/>
    <x v="0"/>
    <n v="0"/>
    <x v="0"/>
    <x v="0"/>
    <m/>
    <n v="48.7"/>
  </r>
  <r>
    <s v="USR-100936"/>
    <d v="2025-04-26T00:00:00"/>
    <x v="1"/>
    <x v="3"/>
    <x v="1"/>
    <x v="2"/>
    <x v="0"/>
    <x v="1"/>
    <x v="1"/>
    <x v="1"/>
    <x v="0"/>
    <n v="0"/>
    <x v="0"/>
    <x v="0"/>
    <m/>
    <n v="59.9"/>
  </r>
  <r>
    <s v="USR-100937"/>
    <d v="2025-05-21T00:00:00"/>
    <x v="1"/>
    <x v="3"/>
    <x v="0"/>
    <x v="5"/>
    <x v="0"/>
    <x v="0"/>
    <x v="0"/>
    <x v="0"/>
    <x v="0"/>
    <n v="0"/>
    <x v="0"/>
    <x v="0"/>
    <m/>
    <n v="82"/>
  </r>
  <r>
    <s v="USR-100938"/>
    <d v="2025-04-18T00:00:00"/>
    <x v="1"/>
    <x v="2"/>
    <x v="1"/>
    <x v="2"/>
    <x v="1"/>
    <x v="0"/>
    <x v="0"/>
    <x v="0"/>
    <x v="0"/>
    <n v="0"/>
    <x v="0"/>
    <x v="0"/>
    <m/>
    <n v="72.099999999999994"/>
  </r>
  <r>
    <s v="USR-100939"/>
    <d v="2025-01-29T00:00:00"/>
    <x v="1"/>
    <x v="0"/>
    <x v="0"/>
    <x v="0"/>
    <x v="2"/>
    <x v="1"/>
    <x v="1"/>
    <x v="0"/>
    <x v="0"/>
    <n v="0"/>
    <x v="0"/>
    <x v="0"/>
    <m/>
    <n v="68.3"/>
  </r>
  <r>
    <s v="USR-100940"/>
    <d v="2025-05-28T00:00:00"/>
    <x v="1"/>
    <x v="1"/>
    <x v="1"/>
    <x v="1"/>
    <x v="2"/>
    <x v="0"/>
    <x v="0"/>
    <x v="0"/>
    <x v="0"/>
    <n v="0"/>
    <x v="0"/>
    <x v="0"/>
    <m/>
    <n v="100"/>
  </r>
  <r>
    <s v="USR-100941"/>
    <d v="2025-01-15T00:00:00"/>
    <x v="1"/>
    <x v="2"/>
    <x v="1"/>
    <x v="0"/>
    <x v="1"/>
    <x v="1"/>
    <x v="1"/>
    <x v="1"/>
    <x v="0"/>
    <n v="0"/>
    <x v="2"/>
    <x v="0"/>
    <m/>
    <n v="76.5"/>
  </r>
  <r>
    <s v="USR-100942"/>
    <d v="2025-01-03T00:00:00"/>
    <x v="1"/>
    <x v="3"/>
    <x v="1"/>
    <x v="1"/>
    <x v="0"/>
    <x v="1"/>
    <x v="1"/>
    <x v="0"/>
    <x v="0"/>
    <n v="0"/>
    <x v="0"/>
    <x v="0"/>
    <m/>
    <n v="62"/>
  </r>
  <r>
    <s v="USR-100943"/>
    <d v="2025-02-04T00:00:00"/>
    <x v="1"/>
    <x v="3"/>
    <x v="1"/>
    <x v="2"/>
    <x v="1"/>
    <x v="1"/>
    <x v="1"/>
    <x v="1"/>
    <x v="1"/>
    <n v="324.68"/>
    <x v="1"/>
    <x v="0"/>
    <n v="7"/>
    <n v="50.1"/>
  </r>
  <r>
    <s v="USR-100944"/>
    <d v="2025-02-22T00:00:00"/>
    <x v="1"/>
    <x v="3"/>
    <x v="1"/>
    <x v="3"/>
    <x v="2"/>
    <x v="1"/>
    <x v="0"/>
    <x v="0"/>
    <x v="0"/>
    <n v="0"/>
    <x v="0"/>
    <x v="0"/>
    <m/>
    <n v="62.1"/>
  </r>
  <r>
    <s v="USR-100945"/>
    <d v="2025-05-06T00:00:00"/>
    <x v="1"/>
    <x v="1"/>
    <x v="1"/>
    <x v="1"/>
    <x v="0"/>
    <x v="1"/>
    <x v="0"/>
    <x v="0"/>
    <x v="0"/>
    <n v="0"/>
    <x v="0"/>
    <x v="0"/>
    <m/>
    <n v="49.7"/>
  </r>
  <r>
    <s v="USR-100946"/>
    <d v="2025-01-31T00:00:00"/>
    <x v="1"/>
    <x v="3"/>
    <x v="1"/>
    <x v="1"/>
    <x v="1"/>
    <x v="1"/>
    <x v="0"/>
    <x v="0"/>
    <x v="0"/>
    <n v="0"/>
    <x v="3"/>
    <x v="0"/>
    <m/>
    <n v="71.099999999999994"/>
  </r>
  <r>
    <s v="USR-100947"/>
    <d v="2025-02-18T00:00:00"/>
    <x v="1"/>
    <x v="0"/>
    <x v="1"/>
    <x v="4"/>
    <x v="0"/>
    <x v="0"/>
    <x v="0"/>
    <x v="0"/>
    <x v="0"/>
    <n v="0"/>
    <x v="0"/>
    <x v="0"/>
    <m/>
    <n v="70.8"/>
  </r>
  <r>
    <s v="USR-100948"/>
    <d v="2025-04-23T00:00:00"/>
    <x v="1"/>
    <x v="2"/>
    <x v="1"/>
    <x v="2"/>
    <x v="1"/>
    <x v="1"/>
    <x v="1"/>
    <x v="1"/>
    <x v="1"/>
    <n v="301.98"/>
    <x v="0"/>
    <x v="0"/>
    <n v="10"/>
    <n v="52.2"/>
  </r>
  <r>
    <s v="USR-100949"/>
    <d v="2025-02-06T00:00:00"/>
    <x v="1"/>
    <x v="0"/>
    <x v="1"/>
    <x v="1"/>
    <x v="1"/>
    <x v="1"/>
    <x v="1"/>
    <x v="1"/>
    <x v="0"/>
    <n v="0"/>
    <x v="0"/>
    <x v="0"/>
    <m/>
    <n v="73"/>
  </r>
  <r>
    <s v="USR-100950"/>
    <d v="2025-04-26T00:00:00"/>
    <x v="1"/>
    <x v="3"/>
    <x v="0"/>
    <x v="2"/>
    <x v="1"/>
    <x v="0"/>
    <x v="0"/>
    <x v="0"/>
    <x v="0"/>
    <n v="0"/>
    <x v="0"/>
    <x v="0"/>
    <m/>
    <n v="78.2"/>
  </r>
  <r>
    <s v="USR-100951"/>
    <d v="2025-03-30T00:00:00"/>
    <x v="1"/>
    <x v="1"/>
    <x v="0"/>
    <x v="2"/>
    <x v="0"/>
    <x v="1"/>
    <x v="0"/>
    <x v="0"/>
    <x v="0"/>
    <n v="0"/>
    <x v="0"/>
    <x v="0"/>
    <m/>
    <n v="68.8"/>
  </r>
  <r>
    <s v="USR-100952"/>
    <d v="2025-04-13T00:00:00"/>
    <x v="1"/>
    <x v="1"/>
    <x v="1"/>
    <x v="5"/>
    <x v="2"/>
    <x v="1"/>
    <x v="0"/>
    <x v="0"/>
    <x v="0"/>
    <n v="0"/>
    <x v="0"/>
    <x v="0"/>
    <m/>
    <n v="57.1"/>
  </r>
  <r>
    <s v="USR-100953"/>
    <d v="2025-04-04T00:00:00"/>
    <x v="1"/>
    <x v="2"/>
    <x v="0"/>
    <x v="1"/>
    <x v="2"/>
    <x v="0"/>
    <x v="0"/>
    <x v="0"/>
    <x v="0"/>
    <n v="0"/>
    <x v="1"/>
    <x v="0"/>
    <m/>
    <n v="74.599999999999994"/>
  </r>
  <r>
    <s v="USR-100954"/>
    <d v="2025-04-03T00:00:00"/>
    <x v="1"/>
    <x v="0"/>
    <x v="0"/>
    <x v="3"/>
    <x v="1"/>
    <x v="1"/>
    <x v="0"/>
    <x v="0"/>
    <x v="0"/>
    <n v="0"/>
    <x v="1"/>
    <x v="0"/>
    <m/>
    <n v="64.099999999999994"/>
  </r>
  <r>
    <s v="USR-100955"/>
    <d v="2025-03-14T00:00:00"/>
    <x v="1"/>
    <x v="1"/>
    <x v="1"/>
    <x v="2"/>
    <x v="2"/>
    <x v="1"/>
    <x v="0"/>
    <x v="0"/>
    <x v="0"/>
    <n v="0"/>
    <x v="0"/>
    <x v="0"/>
    <m/>
    <n v="67.3"/>
  </r>
  <r>
    <s v="USR-100956"/>
    <d v="2025-01-14T00:00:00"/>
    <x v="1"/>
    <x v="1"/>
    <x v="1"/>
    <x v="3"/>
    <x v="1"/>
    <x v="0"/>
    <x v="0"/>
    <x v="0"/>
    <x v="0"/>
    <n v="0"/>
    <x v="2"/>
    <x v="0"/>
    <m/>
    <n v="41"/>
  </r>
  <r>
    <s v="USR-100957"/>
    <d v="2025-05-05T00:00:00"/>
    <x v="1"/>
    <x v="1"/>
    <x v="1"/>
    <x v="2"/>
    <x v="1"/>
    <x v="0"/>
    <x v="0"/>
    <x v="0"/>
    <x v="0"/>
    <n v="0"/>
    <x v="0"/>
    <x v="0"/>
    <m/>
    <n v="48.1"/>
  </r>
  <r>
    <s v="USR-100958"/>
    <d v="2025-05-02T00:00:00"/>
    <x v="1"/>
    <x v="1"/>
    <x v="0"/>
    <x v="4"/>
    <x v="1"/>
    <x v="0"/>
    <x v="0"/>
    <x v="0"/>
    <x v="0"/>
    <n v="0"/>
    <x v="1"/>
    <x v="0"/>
    <m/>
    <n v="60.8"/>
  </r>
  <r>
    <s v="USR-100959"/>
    <d v="2025-05-21T00:00:00"/>
    <x v="1"/>
    <x v="2"/>
    <x v="1"/>
    <x v="1"/>
    <x v="1"/>
    <x v="1"/>
    <x v="0"/>
    <x v="0"/>
    <x v="0"/>
    <n v="0"/>
    <x v="0"/>
    <x v="0"/>
    <m/>
    <n v="63.1"/>
  </r>
  <r>
    <s v="USR-100960"/>
    <d v="2025-05-16T00:00:00"/>
    <x v="1"/>
    <x v="0"/>
    <x v="1"/>
    <x v="3"/>
    <x v="2"/>
    <x v="1"/>
    <x v="0"/>
    <x v="0"/>
    <x v="0"/>
    <n v="0"/>
    <x v="2"/>
    <x v="0"/>
    <m/>
    <n v="49.7"/>
  </r>
  <r>
    <s v="USR-100961"/>
    <d v="2025-05-24T00:00:00"/>
    <x v="1"/>
    <x v="2"/>
    <x v="0"/>
    <x v="1"/>
    <x v="2"/>
    <x v="1"/>
    <x v="1"/>
    <x v="1"/>
    <x v="0"/>
    <n v="0"/>
    <x v="1"/>
    <x v="0"/>
    <m/>
    <n v="83.4"/>
  </r>
  <r>
    <s v="USR-100962"/>
    <d v="2025-03-18T00:00:00"/>
    <x v="1"/>
    <x v="2"/>
    <x v="1"/>
    <x v="1"/>
    <x v="0"/>
    <x v="1"/>
    <x v="0"/>
    <x v="0"/>
    <x v="0"/>
    <n v="0"/>
    <x v="0"/>
    <x v="0"/>
    <m/>
    <n v="75.900000000000006"/>
  </r>
  <r>
    <s v="USR-100963"/>
    <d v="2025-01-11T00:00:00"/>
    <x v="1"/>
    <x v="2"/>
    <x v="0"/>
    <x v="2"/>
    <x v="1"/>
    <x v="0"/>
    <x v="0"/>
    <x v="0"/>
    <x v="0"/>
    <n v="0"/>
    <x v="1"/>
    <x v="0"/>
    <m/>
    <n v="71.8"/>
  </r>
  <r>
    <s v="USR-100964"/>
    <d v="2025-02-09T00:00:00"/>
    <x v="1"/>
    <x v="3"/>
    <x v="1"/>
    <x v="1"/>
    <x v="0"/>
    <x v="0"/>
    <x v="0"/>
    <x v="0"/>
    <x v="0"/>
    <n v="0"/>
    <x v="0"/>
    <x v="0"/>
    <m/>
    <n v="37.9"/>
  </r>
  <r>
    <s v="USR-100965"/>
    <d v="2025-03-01T00:00:00"/>
    <x v="1"/>
    <x v="0"/>
    <x v="0"/>
    <x v="4"/>
    <x v="1"/>
    <x v="1"/>
    <x v="0"/>
    <x v="0"/>
    <x v="0"/>
    <n v="0"/>
    <x v="0"/>
    <x v="0"/>
    <m/>
    <n v="59.8"/>
  </r>
  <r>
    <s v="USR-100966"/>
    <d v="2025-05-07T00:00:00"/>
    <x v="1"/>
    <x v="0"/>
    <x v="1"/>
    <x v="1"/>
    <x v="0"/>
    <x v="0"/>
    <x v="0"/>
    <x v="0"/>
    <x v="0"/>
    <n v="0"/>
    <x v="0"/>
    <x v="0"/>
    <m/>
    <n v="66.900000000000006"/>
  </r>
  <r>
    <s v="USR-100967"/>
    <d v="2025-02-19T00:00:00"/>
    <x v="1"/>
    <x v="3"/>
    <x v="0"/>
    <x v="5"/>
    <x v="1"/>
    <x v="1"/>
    <x v="0"/>
    <x v="0"/>
    <x v="0"/>
    <n v="0"/>
    <x v="0"/>
    <x v="0"/>
    <m/>
    <n v="59"/>
  </r>
  <r>
    <s v="USR-100968"/>
    <d v="2025-02-26T00:00:00"/>
    <x v="1"/>
    <x v="1"/>
    <x v="1"/>
    <x v="1"/>
    <x v="2"/>
    <x v="1"/>
    <x v="0"/>
    <x v="0"/>
    <x v="0"/>
    <n v="0"/>
    <x v="0"/>
    <x v="0"/>
    <m/>
    <n v="80.099999999999994"/>
  </r>
  <r>
    <s v="USR-100969"/>
    <d v="2025-03-23T00:00:00"/>
    <x v="1"/>
    <x v="3"/>
    <x v="1"/>
    <x v="4"/>
    <x v="1"/>
    <x v="0"/>
    <x v="0"/>
    <x v="0"/>
    <x v="0"/>
    <n v="0"/>
    <x v="0"/>
    <x v="0"/>
    <m/>
    <n v="64.3"/>
  </r>
  <r>
    <s v="USR-100970"/>
    <d v="2025-04-25T00:00:00"/>
    <x v="1"/>
    <x v="3"/>
    <x v="0"/>
    <x v="4"/>
    <x v="1"/>
    <x v="0"/>
    <x v="0"/>
    <x v="0"/>
    <x v="0"/>
    <n v="0"/>
    <x v="1"/>
    <x v="0"/>
    <m/>
    <n v="57.4"/>
  </r>
  <r>
    <s v="USR-100971"/>
    <d v="2025-05-10T00:00:00"/>
    <x v="1"/>
    <x v="0"/>
    <x v="0"/>
    <x v="4"/>
    <x v="1"/>
    <x v="1"/>
    <x v="1"/>
    <x v="1"/>
    <x v="0"/>
    <n v="0"/>
    <x v="0"/>
    <x v="0"/>
    <m/>
    <n v="83.6"/>
  </r>
  <r>
    <s v="USR-100972"/>
    <d v="2025-04-22T00:00:00"/>
    <x v="1"/>
    <x v="2"/>
    <x v="1"/>
    <x v="2"/>
    <x v="2"/>
    <x v="0"/>
    <x v="0"/>
    <x v="0"/>
    <x v="0"/>
    <n v="0"/>
    <x v="0"/>
    <x v="0"/>
    <m/>
    <n v="45.8"/>
  </r>
  <r>
    <s v="USR-100973"/>
    <d v="2025-02-18T00:00:00"/>
    <x v="1"/>
    <x v="1"/>
    <x v="1"/>
    <x v="3"/>
    <x v="0"/>
    <x v="1"/>
    <x v="1"/>
    <x v="1"/>
    <x v="0"/>
    <n v="0"/>
    <x v="0"/>
    <x v="0"/>
    <m/>
    <n v="64.3"/>
  </r>
  <r>
    <s v="USR-100974"/>
    <d v="2025-01-26T00:00:00"/>
    <x v="1"/>
    <x v="3"/>
    <x v="1"/>
    <x v="2"/>
    <x v="2"/>
    <x v="1"/>
    <x v="1"/>
    <x v="1"/>
    <x v="0"/>
    <n v="0"/>
    <x v="0"/>
    <x v="0"/>
    <m/>
    <n v="80.5"/>
  </r>
  <r>
    <s v="USR-100975"/>
    <d v="2025-04-28T00:00:00"/>
    <x v="1"/>
    <x v="0"/>
    <x v="1"/>
    <x v="1"/>
    <x v="1"/>
    <x v="1"/>
    <x v="0"/>
    <x v="0"/>
    <x v="0"/>
    <n v="0"/>
    <x v="0"/>
    <x v="0"/>
    <m/>
    <n v="46.3"/>
  </r>
  <r>
    <s v="USR-100976"/>
    <d v="2025-04-02T00:00:00"/>
    <x v="1"/>
    <x v="3"/>
    <x v="0"/>
    <x v="0"/>
    <x v="0"/>
    <x v="1"/>
    <x v="0"/>
    <x v="0"/>
    <x v="0"/>
    <n v="0"/>
    <x v="0"/>
    <x v="0"/>
    <m/>
    <n v="71.599999999999994"/>
  </r>
  <r>
    <s v="USR-100977"/>
    <d v="2025-04-12T00:00:00"/>
    <x v="1"/>
    <x v="3"/>
    <x v="0"/>
    <x v="0"/>
    <x v="2"/>
    <x v="1"/>
    <x v="1"/>
    <x v="0"/>
    <x v="0"/>
    <n v="0"/>
    <x v="0"/>
    <x v="0"/>
    <m/>
    <n v="57.8"/>
  </r>
  <r>
    <s v="USR-100978"/>
    <d v="2025-01-03T00:00:00"/>
    <x v="1"/>
    <x v="1"/>
    <x v="0"/>
    <x v="0"/>
    <x v="0"/>
    <x v="1"/>
    <x v="1"/>
    <x v="1"/>
    <x v="0"/>
    <n v="0"/>
    <x v="1"/>
    <x v="0"/>
    <m/>
    <n v="57.8"/>
  </r>
  <r>
    <s v="USR-100979"/>
    <d v="2025-05-08T00:00:00"/>
    <x v="1"/>
    <x v="0"/>
    <x v="1"/>
    <x v="2"/>
    <x v="1"/>
    <x v="1"/>
    <x v="0"/>
    <x v="0"/>
    <x v="0"/>
    <n v="0"/>
    <x v="0"/>
    <x v="0"/>
    <m/>
    <n v="38.299999999999997"/>
  </r>
  <r>
    <s v="USR-100980"/>
    <d v="2025-02-20T00:00:00"/>
    <x v="1"/>
    <x v="0"/>
    <x v="1"/>
    <x v="3"/>
    <x v="2"/>
    <x v="1"/>
    <x v="0"/>
    <x v="0"/>
    <x v="0"/>
    <n v="0"/>
    <x v="1"/>
    <x v="0"/>
    <m/>
    <n v="66.099999999999994"/>
  </r>
  <r>
    <s v="USR-100981"/>
    <d v="2025-03-17T00:00:00"/>
    <x v="1"/>
    <x v="0"/>
    <x v="0"/>
    <x v="2"/>
    <x v="2"/>
    <x v="1"/>
    <x v="0"/>
    <x v="0"/>
    <x v="0"/>
    <n v="0"/>
    <x v="0"/>
    <x v="0"/>
    <m/>
    <n v="66.5"/>
  </r>
  <r>
    <s v="USR-100982"/>
    <d v="2025-04-10T00:00:00"/>
    <x v="1"/>
    <x v="3"/>
    <x v="0"/>
    <x v="0"/>
    <x v="1"/>
    <x v="1"/>
    <x v="0"/>
    <x v="0"/>
    <x v="0"/>
    <n v="0"/>
    <x v="3"/>
    <x v="0"/>
    <m/>
    <n v="51.5"/>
  </r>
  <r>
    <s v="USR-100983"/>
    <d v="2025-05-08T00:00:00"/>
    <x v="1"/>
    <x v="0"/>
    <x v="0"/>
    <x v="3"/>
    <x v="1"/>
    <x v="1"/>
    <x v="0"/>
    <x v="0"/>
    <x v="0"/>
    <n v="0"/>
    <x v="0"/>
    <x v="0"/>
    <m/>
    <n v="59.9"/>
  </r>
  <r>
    <s v="USR-100984"/>
    <d v="2025-04-19T00:00:00"/>
    <x v="1"/>
    <x v="1"/>
    <x v="1"/>
    <x v="2"/>
    <x v="0"/>
    <x v="1"/>
    <x v="0"/>
    <x v="0"/>
    <x v="0"/>
    <n v="0"/>
    <x v="0"/>
    <x v="0"/>
    <m/>
    <n v="58.8"/>
  </r>
  <r>
    <s v="USR-100985"/>
    <d v="2025-01-01T00:00:00"/>
    <x v="1"/>
    <x v="3"/>
    <x v="2"/>
    <x v="2"/>
    <x v="0"/>
    <x v="1"/>
    <x v="0"/>
    <x v="0"/>
    <x v="0"/>
    <n v="0"/>
    <x v="0"/>
    <x v="0"/>
    <m/>
    <n v="69.599999999999994"/>
  </r>
  <r>
    <s v="USR-100986"/>
    <d v="2025-03-10T00:00:00"/>
    <x v="1"/>
    <x v="2"/>
    <x v="1"/>
    <x v="2"/>
    <x v="1"/>
    <x v="1"/>
    <x v="0"/>
    <x v="0"/>
    <x v="0"/>
    <n v="0"/>
    <x v="0"/>
    <x v="0"/>
    <m/>
    <n v="77.5"/>
  </r>
  <r>
    <s v="USR-100987"/>
    <d v="2025-03-10T00:00:00"/>
    <x v="1"/>
    <x v="2"/>
    <x v="2"/>
    <x v="4"/>
    <x v="2"/>
    <x v="0"/>
    <x v="0"/>
    <x v="0"/>
    <x v="0"/>
    <n v="0"/>
    <x v="2"/>
    <x v="0"/>
    <m/>
    <n v="57.5"/>
  </r>
  <r>
    <s v="USR-100988"/>
    <d v="2025-04-19T00:00:00"/>
    <x v="1"/>
    <x v="1"/>
    <x v="2"/>
    <x v="0"/>
    <x v="0"/>
    <x v="1"/>
    <x v="0"/>
    <x v="0"/>
    <x v="0"/>
    <n v="0"/>
    <x v="0"/>
    <x v="0"/>
    <m/>
    <n v="64.2"/>
  </r>
  <r>
    <s v="USR-100989"/>
    <d v="2025-04-11T00:00:00"/>
    <x v="1"/>
    <x v="1"/>
    <x v="0"/>
    <x v="1"/>
    <x v="1"/>
    <x v="0"/>
    <x v="0"/>
    <x v="0"/>
    <x v="0"/>
    <n v="0"/>
    <x v="0"/>
    <x v="0"/>
    <m/>
    <n v="60"/>
  </r>
  <r>
    <s v="USR-100990"/>
    <d v="2025-04-10T00:00:00"/>
    <x v="1"/>
    <x v="2"/>
    <x v="1"/>
    <x v="1"/>
    <x v="0"/>
    <x v="1"/>
    <x v="0"/>
    <x v="0"/>
    <x v="0"/>
    <n v="0"/>
    <x v="1"/>
    <x v="0"/>
    <m/>
    <n v="43.7"/>
  </r>
  <r>
    <s v="USR-100991"/>
    <d v="2025-01-13T00:00:00"/>
    <x v="1"/>
    <x v="1"/>
    <x v="0"/>
    <x v="4"/>
    <x v="1"/>
    <x v="1"/>
    <x v="0"/>
    <x v="0"/>
    <x v="0"/>
    <n v="0"/>
    <x v="0"/>
    <x v="0"/>
    <m/>
    <n v="64.900000000000006"/>
  </r>
  <r>
    <s v="USR-100992"/>
    <d v="2025-03-28T00:00:00"/>
    <x v="1"/>
    <x v="3"/>
    <x v="0"/>
    <x v="1"/>
    <x v="1"/>
    <x v="1"/>
    <x v="1"/>
    <x v="0"/>
    <x v="0"/>
    <n v="0"/>
    <x v="0"/>
    <x v="0"/>
    <m/>
    <n v="45.5"/>
  </r>
  <r>
    <s v="USR-100993"/>
    <d v="2025-01-29T00:00:00"/>
    <x v="1"/>
    <x v="2"/>
    <x v="1"/>
    <x v="2"/>
    <x v="1"/>
    <x v="1"/>
    <x v="1"/>
    <x v="1"/>
    <x v="1"/>
    <n v="1772.97"/>
    <x v="0"/>
    <x v="0"/>
    <n v="8"/>
    <n v="61.2"/>
  </r>
  <r>
    <s v="USR-100994"/>
    <d v="2025-03-27T00:00:00"/>
    <x v="1"/>
    <x v="3"/>
    <x v="1"/>
    <x v="3"/>
    <x v="1"/>
    <x v="0"/>
    <x v="0"/>
    <x v="0"/>
    <x v="0"/>
    <n v="0"/>
    <x v="0"/>
    <x v="0"/>
    <m/>
    <n v="87.8"/>
  </r>
  <r>
    <s v="USR-100995"/>
    <d v="2025-03-20T00:00:00"/>
    <x v="1"/>
    <x v="2"/>
    <x v="2"/>
    <x v="4"/>
    <x v="1"/>
    <x v="0"/>
    <x v="0"/>
    <x v="0"/>
    <x v="0"/>
    <n v="0"/>
    <x v="0"/>
    <x v="0"/>
    <m/>
    <n v="86.4"/>
  </r>
  <r>
    <s v="USR-100996"/>
    <d v="2025-01-09T00:00:00"/>
    <x v="1"/>
    <x v="0"/>
    <x v="1"/>
    <x v="2"/>
    <x v="0"/>
    <x v="0"/>
    <x v="0"/>
    <x v="0"/>
    <x v="0"/>
    <n v="0"/>
    <x v="1"/>
    <x v="0"/>
    <m/>
    <n v="71.400000000000006"/>
  </r>
  <r>
    <s v="USR-100997"/>
    <d v="2025-04-25T00:00:00"/>
    <x v="1"/>
    <x v="1"/>
    <x v="1"/>
    <x v="4"/>
    <x v="1"/>
    <x v="1"/>
    <x v="1"/>
    <x v="1"/>
    <x v="1"/>
    <n v="218.66"/>
    <x v="0"/>
    <x v="1"/>
    <n v="8"/>
    <n v="72.2"/>
  </r>
  <r>
    <s v="USR-100998"/>
    <d v="2025-04-11T00:00:00"/>
    <x v="1"/>
    <x v="3"/>
    <x v="0"/>
    <x v="4"/>
    <x v="1"/>
    <x v="1"/>
    <x v="0"/>
    <x v="0"/>
    <x v="0"/>
    <n v="0"/>
    <x v="0"/>
    <x v="0"/>
    <m/>
    <n v="51.9"/>
  </r>
  <r>
    <s v="USR-100999"/>
    <d v="2025-02-05T00:00:00"/>
    <x v="1"/>
    <x v="2"/>
    <x v="1"/>
    <x v="4"/>
    <x v="0"/>
    <x v="1"/>
    <x v="1"/>
    <x v="1"/>
    <x v="0"/>
    <n v="0"/>
    <x v="0"/>
    <x v="0"/>
    <m/>
    <n v="70.3"/>
  </r>
  <r>
    <s v="USR-101000"/>
    <d v="2025-03-28T00:00:00"/>
    <x v="1"/>
    <x v="3"/>
    <x v="1"/>
    <x v="4"/>
    <x v="2"/>
    <x v="1"/>
    <x v="0"/>
    <x v="0"/>
    <x v="0"/>
    <n v="0"/>
    <x v="1"/>
    <x v="0"/>
    <m/>
    <n v="49.2"/>
  </r>
  <r>
    <s v="USR-101001"/>
    <d v="2025-05-14T00:00:00"/>
    <x v="1"/>
    <x v="3"/>
    <x v="1"/>
    <x v="3"/>
    <x v="1"/>
    <x v="0"/>
    <x v="0"/>
    <x v="0"/>
    <x v="0"/>
    <n v="0"/>
    <x v="0"/>
    <x v="0"/>
    <m/>
    <n v="52.2"/>
  </r>
  <r>
    <s v="USR-101002"/>
    <d v="2025-03-10T00:00:00"/>
    <x v="1"/>
    <x v="2"/>
    <x v="1"/>
    <x v="2"/>
    <x v="0"/>
    <x v="0"/>
    <x v="0"/>
    <x v="0"/>
    <x v="0"/>
    <n v="0"/>
    <x v="1"/>
    <x v="0"/>
    <m/>
    <n v="62.6"/>
  </r>
  <r>
    <s v="USR-101003"/>
    <d v="2025-04-09T00:00:00"/>
    <x v="1"/>
    <x v="2"/>
    <x v="0"/>
    <x v="2"/>
    <x v="1"/>
    <x v="1"/>
    <x v="1"/>
    <x v="0"/>
    <x v="0"/>
    <n v="0"/>
    <x v="0"/>
    <x v="0"/>
    <m/>
    <n v="100"/>
  </r>
  <r>
    <s v="USR-101004"/>
    <d v="2025-02-13T00:00:00"/>
    <x v="1"/>
    <x v="0"/>
    <x v="1"/>
    <x v="3"/>
    <x v="0"/>
    <x v="1"/>
    <x v="1"/>
    <x v="1"/>
    <x v="0"/>
    <n v="0"/>
    <x v="2"/>
    <x v="0"/>
    <m/>
    <n v="45.9"/>
  </r>
  <r>
    <s v="USR-101005"/>
    <d v="2025-05-03T00:00:00"/>
    <x v="1"/>
    <x v="2"/>
    <x v="1"/>
    <x v="0"/>
    <x v="1"/>
    <x v="1"/>
    <x v="1"/>
    <x v="1"/>
    <x v="0"/>
    <n v="0"/>
    <x v="0"/>
    <x v="0"/>
    <m/>
    <n v="80.7"/>
  </r>
  <r>
    <s v="USR-101006"/>
    <d v="2025-04-16T00:00:00"/>
    <x v="1"/>
    <x v="3"/>
    <x v="0"/>
    <x v="3"/>
    <x v="2"/>
    <x v="1"/>
    <x v="0"/>
    <x v="0"/>
    <x v="0"/>
    <n v="0"/>
    <x v="0"/>
    <x v="0"/>
    <m/>
    <n v="51.9"/>
  </r>
  <r>
    <s v="USR-101007"/>
    <d v="2025-04-30T00:00:00"/>
    <x v="1"/>
    <x v="0"/>
    <x v="1"/>
    <x v="2"/>
    <x v="2"/>
    <x v="1"/>
    <x v="0"/>
    <x v="0"/>
    <x v="0"/>
    <n v="0"/>
    <x v="0"/>
    <x v="0"/>
    <m/>
    <n v="68.900000000000006"/>
  </r>
  <r>
    <s v="USR-101008"/>
    <d v="2025-02-18T00:00:00"/>
    <x v="1"/>
    <x v="1"/>
    <x v="0"/>
    <x v="1"/>
    <x v="1"/>
    <x v="1"/>
    <x v="0"/>
    <x v="0"/>
    <x v="0"/>
    <n v="0"/>
    <x v="0"/>
    <x v="0"/>
    <m/>
    <n v="66"/>
  </r>
  <r>
    <s v="USR-101009"/>
    <d v="2025-05-22T00:00:00"/>
    <x v="1"/>
    <x v="1"/>
    <x v="0"/>
    <x v="3"/>
    <x v="0"/>
    <x v="0"/>
    <x v="0"/>
    <x v="0"/>
    <x v="0"/>
    <n v="0"/>
    <x v="0"/>
    <x v="0"/>
    <m/>
    <n v="63.1"/>
  </r>
  <r>
    <s v="USR-101010"/>
    <d v="2025-05-21T00:00:00"/>
    <x v="1"/>
    <x v="3"/>
    <x v="0"/>
    <x v="1"/>
    <x v="1"/>
    <x v="0"/>
    <x v="0"/>
    <x v="0"/>
    <x v="0"/>
    <n v="0"/>
    <x v="0"/>
    <x v="0"/>
    <m/>
    <n v="56"/>
  </r>
  <r>
    <s v="USR-101011"/>
    <d v="2025-04-10T00:00:00"/>
    <x v="1"/>
    <x v="2"/>
    <x v="0"/>
    <x v="1"/>
    <x v="1"/>
    <x v="1"/>
    <x v="0"/>
    <x v="0"/>
    <x v="0"/>
    <n v="0"/>
    <x v="1"/>
    <x v="0"/>
    <m/>
    <n v="65.7"/>
  </r>
  <r>
    <s v="USR-101012"/>
    <d v="2025-01-07T00:00:00"/>
    <x v="1"/>
    <x v="0"/>
    <x v="0"/>
    <x v="1"/>
    <x v="2"/>
    <x v="1"/>
    <x v="1"/>
    <x v="1"/>
    <x v="1"/>
    <n v="1938.31"/>
    <x v="1"/>
    <x v="0"/>
    <n v="9"/>
    <n v="60.9"/>
  </r>
  <r>
    <s v="USR-101013"/>
    <d v="2025-02-03T00:00:00"/>
    <x v="1"/>
    <x v="3"/>
    <x v="0"/>
    <x v="4"/>
    <x v="1"/>
    <x v="0"/>
    <x v="0"/>
    <x v="0"/>
    <x v="0"/>
    <n v="0"/>
    <x v="0"/>
    <x v="0"/>
    <m/>
    <n v="45.5"/>
  </r>
  <r>
    <s v="USR-101014"/>
    <d v="2025-05-18T00:00:00"/>
    <x v="1"/>
    <x v="0"/>
    <x v="1"/>
    <x v="2"/>
    <x v="1"/>
    <x v="1"/>
    <x v="0"/>
    <x v="0"/>
    <x v="0"/>
    <n v="0"/>
    <x v="0"/>
    <x v="0"/>
    <m/>
    <n v="50"/>
  </r>
  <r>
    <s v="USR-101015"/>
    <d v="2025-01-31T00:00:00"/>
    <x v="1"/>
    <x v="0"/>
    <x v="1"/>
    <x v="3"/>
    <x v="1"/>
    <x v="1"/>
    <x v="0"/>
    <x v="0"/>
    <x v="0"/>
    <n v="0"/>
    <x v="0"/>
    <x v="0"/>
    <m/>
    <n v="72.099999999999994"/>
  </r>
  <r>
    <s v="USR-101016"/>
    <d v="2025-01-16T00:00:00"/>
    <x v="1"/>
    <x v="3"/>
    <x v="0"/>
    <x v="1"/>
    <x v="0"/>
    <x v="1"/>
    <x v="0"/>
    <x v="0"/>
    <x v="0"/>
    <n v="0"/>
    <x v="0"/>
    <x v="0"/>
    <m/>
    <n v="76.3"/>
  </r>
  <r>
    <s v="USR-101017"/>
    <d v="2025-05-14T00:00:00"/>
    <x v="1"/>
    <x v="2"/>
    <x v="1"/>
    <x v="2"/>
    <x v="0"/>
    <x v="1"/>
    <x v="1"/>
    <x v="0"/>
    <x v="0"/>
    <n v="0"/>
    <x v="1"/>
    <x v="0"/>
    <m/>
    <n v="54.8"/>
  </r>
  <r>
    <s v="USR-101018"/>
    <d v="2025-04-01T00:00:00"/>
    <x v="1"/>
    <x v="3"/>
    <x v="1"/>
    <x v="5"/>
    <x v="0"/>
    <x v="1"/>
    <x v="0"/>
    <x v="0"/>
    <x v="0"/>
    <n v="0"/>
    <x v="0"/>
    <x v="0"/>
    <m/>
    <n v="63.6"/>
  </r>
  <r>
    <s v="USR-101019"/>
    <d v="2025-04-23T00:00:00"/>
    <x v="1"/>
    <x v="3"/>
    <x v="1"/>
    <x v="1"/>
    <x v="1"/>
    <x v="1"/>
    <x v="0"/>
    <x v="0"/>
    <x v="0"/>
    <n v="0"/>
    <x v="0"/>
    <x v="0"/>
    <m/>
    <n v="68.8"/>
  </r>
  <r>
    <s v="USR-101020"/>
    <d v="2025-03-02T00:00:00"/>
    <x v="1"/>
    <x v="3"/>
    <x v="0"/>
    <x v="2"/>
    <x v="0"/>
    <x v="1"/>
    <x v="0"/>
    <x v="0"/>
    <x v="0"/>
    <n v="0"/>
    <x v="0"/>
    <x v="0"/>
    <m/>
    <n v="63.2"/>
  </r>
  <r>
    <s v="USR-101021"/>
    <d v="2025-01-02T00:00:00"/>
    <x v="1"/>
    <x v="2"/>
    <x v="1"/>
    <x v="2"/>
    <x v="0"/>
    <x v="0"/>
    <x v="0"/>
    <x v="0"/>
    <x v="0"/>
    <n v="0"/>
    <x v="0"/>
    <x v="0"/>
    <m/>
    <n v="45"/>
  </r>
  <r>
    <s v="USR-101022"/>
    <d v="2025-05-04T00:00:00"/>
    <x v="1"/>
    <x v="3"/>
    <x v="1"/>
    <x v="1"/>
    <x v="1"/>
    <x v="1"/>
    <x v="0"/>
    <x v="0"/>
    <x v="0"/>
    <n v="0"/>
    <x v="0"/>
    <x v="0"/>
    <m/>
    <n v="77.400000000000006"/>
  </r>
  <r>
    <s v="USR-101023"/>
    <d v="2025-01-16T00:00:00"/>
    <x v="1"/>
    <x v="2"/>
    <x v="0"/>
    <x v="2"/>
    <x v="0"/>
    <x v="0"/>
    <x v="0"/>
    <x v="0"/>
    <x v="0"/>
    <n v="0"/>
    <x v="0"/>
    <x v="0"/>
    <m/>
    <n v="53.1"/>
  </r>
  <r>
    <s v="USR-101024"/>
    <d v="2025-02-11T00:00:00"/>
    <x v="1"/>
    <x v="1"/>
    <x v="2"/>
    <x v="2"/>
    <x v="2"/>
    <x v="0"/>
    <x v="0"/>
    <x v="0"/>
    <x v="0"/>
    <n v="0"/>
    <x v="0"/>
    <x v="0"/>
    <m/>
    <n v="74"/>
  </r>
  <r>
    <s v="USR-101025"/>
    <d v="2025-04-03T00:00:00"/>
    <x v="1"/>
    <x v="0"/>
    <x v="1"/>
    <x v="4"/>
    <x v="2"/>
    <x v="1"/>
    <x v="1"/>
    <x v="1"/>
    <x v="1"/>
    <n v="1906.23"/>
    <x v="0"/>
    <x v="0"/>
    <n v="4"/>
    <n v="84.6"/>
  </r>
  <r>
    <s v="USR-101026"/>
    <d v="2025-03-26T00:00:00"/>
    <x v="1"/>
    <x v="2"/>
    <x v="1"/>
    <x v="3"/>
    <x v="1"/>
    <x v="1"/>
    <x v="0"/>
    <x v="0"/>
    <x v="0"/>
    <n v="0"/>
    <x v="0"/>
    <x v="0"/>
    <m/>
    <n v="57"/>
  </r>
  <r>
    <s v="USR-101027"/>
    <d v="2025-05-16T00:00:00"/>
    <x v="1"/>
    <x v="3"/>
    <x v="1"/>
    <x v="0"/>
    <x v="2"/>
    <x v="0"/>
    <x v="0"/>
    <x v="0"/>
    <x v="0"/>
    <n v="0"/>
    <x v="0"/>
    <x v="0"/>
    <m/>
    <n v="46.3"/>
  </r>
  <r>
    <s v="USR-101028"/>
    <d v="2025-04-20T00:00:00"/>
    <x v="1"/>
    <x v="1"/>
    <x v="1"/>
    <x v="4"/>
    <x v="1"/>
    <x v="0"/>
    <x v="0"/>
    <x v="0"/>
    <x v="0"/>
    <n v="0"/>
    <x v="1"/>
    <x v="0"/>
    <m/>
    <n v="64.400000000000006"/>
  </r>
  <r>
    <s v="USR-101029"/>
    <d v="2025-04-15T00:00:00"/>
    <x v="1"/>
    <x v="1"/>
    <x v="1"/>
    <x v="2"/>
    <x v="1"/>
    <x v="1"/>
    <x v="0"/>
    <x v="0"/>
    <x v="0"/>
    <n v="0"/>
    <x v="2"/>
    <x v="0"/>
    <m/>
    <n v="61.9"/>
  </r>
  <r>
    <s v="USR-101030"/>
    <d v="2025-01-24T00:00:00"/>
    <x v="1"/>
    <x v="0"/>
    <x v="1"/>
    <x v="1"/>
    <x v="2"/>
    <x v="1"/>
    <x v="1"/>
    <x v="1"/>
    <x v="0"/>
    <n v="0"/>
    <x v="0"/>
    <x v="0"/>
    <m/>
    <n v="93.7"/>
  </r>
  <r>
    <s v="USR-101031"/>
    <d v="2025-04-11T00:00:00"/>
    <x v="1"/>
    <x v="3"/>
    <x v="1"/>
    <x v="3"/>
    <x v="0"/>
    <x v="0"/>
    <x v="0"/>
    <x v="0"/>
    <x v="0"/>
    <n v="0"/>
    <x v="0"/>
    <x v="0"/>
    <m/>
    <n v="61.6"/>
  </r>
  <r>
    <s v="USR-101032"/>
    <d v="2025-05-19T00:00:00"/>
    <x v="1"/>
    <x v="0"/>
    <x v="1"/>
    <x v="2"/>
    <x v="1"/>
    <x v="1"/>
    <x v="0"/>
    <x v="0"/>
    <x v="0"/>
    <n v="0"/>
    <x v="0"/>
    <x v="0"/>
    <m/>
    <n v="72.2"/>
  </r>
  <r>
    <s v="USR-101033"/>
    <d v="2025-01-14T00:00:00"/>
    <x v="1"/>
    <x v="0"/>
    <x v="1"/>
    <x v="1"/>
    <x v="0"/>
    <x v="0"/>
    <x v="0"/>
    <x v="0"/>
    <x v="0"/>
    <n v="0"/>
    <x v="0"/>
    <x v="0"/>
    <m/>
    <n v="69.5"/>
  </r>
  <r>
    <s v="USR-101034"/>
    <d v="2025-02-28T00:00:00"/>
    <x v="1"/>
    <x v="2"/>
    <x v="0"/>
    <x v="1"/>
    <x v="0"/>
    <x v="0"/>
    <x v="0"/>
    <x v="0"/>
    <x v="0"/>
    <n v="0"/>
    <x v="0"/>
    <x v="0"/>
    <m/>
    <n v="59.7"/>
  </r>
  <r>
    <s v="USR-101035"/>
    <d v="2025-05-18T00:00:00"/>
    <x v="1"/>
    <x v="2"/>
    <x v="2"/>
    <x v="2"/>
    <x v="0"/>
    <x v="1"/>
    <x v="0"/>
    <x v="0"/>
    <x v="0"/>
    <n v="0"/>
    <x v="0"/>
    <x v="0"/>
    <m/>
    <n v="73.900000000000006"/>
  </r>
  <r>
    <s v="USR-101036"/>
    <d v="2025-01-04T00:00:00"/>
    <x v="1"/>
    <x v="0"/>
    <x v="1"/>
    <x v="4"/>
    <x v="1"/>
    <x v="0"/>
    <x v="0"/>
    <x v="0"/>
    <x v="0"/>
    <n v="0"/>
    <x v="0"/>
    <x v="0"/>
    <m/>
    <n v="41.5"/>
  </r>
  <r>
    <s v="USR-101037"/>
    <d v="2025-01-16T00:00:00"/>
    <x v="1"/>
    <x v="1"/>
    <x v="1"/>
    <x v="4"/>
    <x v="2"/>
    <x v="1"/>
    <x v="0"/>
    <x v="0"/>
    <x v="0"/>
    <n v="0"/>
    <x v="0"/>
    <x v="0"/>
    <m/>
    <n v="82.8"/>
  </r>
  <r>
    <s v="USR-101038"/>
    <d v="2025-03-14T00:00:00"/>
    <x v="1"/>
    <x v="1"/>
    <x v="1"/>
    <x v="4"/>
    <x v="2"/>
    <x v="1"/>
    <x v="0"/>
    <x v="0"/>
    <x v="0"/>
    <n v="0"/>
    <x v="3"/>
    <x v="0"/>
    <m/>
    <n v="70.2"/>
  </r>
  <r>
    <s v="USR-101039"/>
    <d v="2025-01-23T00:00:00"/>
    <x v="1"/>
    <x v="2"/>
    <x v="1"/>
    <x v="2"/>
    <x v="0"/>
    <x v="1"/>
    <x v="0"/>
    <x v="0"/>
    <x v="0"/>
    <n v="0"/>
    <x v="1"/>
    <x v="0"/>
    <m/>
    <n v="69.400000000000006"/>
  </r>
  <r>
    <s v="USR-101040"/>
    <d v="2025-02-03T00:00:00"/>
    <x v="1"/>
    <x v="0"/>
    <x v="0"/>
    <x v="1"/>
    <x v="0"/>
    <x v="1"/>
    <x v="0"/>
    <x v="0"/>
    <x v="0"/>
    <n v="0"/>
    <x v="0"/>
    <x v="0"/>
    <m/>
    <n v="60.4"/>
  </r>
  <r>
    <s v="USR-101041"/>
    <d v="2025-05-16T00:00:00"/>
    <x v="1"/>
    <x v="2"/>
    <x v="1"/>
    <x v="3"/>
    <x v="1"/>
    <x v="1"/>
    <x v="0"/>
    <x v="0"/>
    <x v="0"/>
    <n v="0"/>
    <x v="0"/>
    <x v="0"/>
    <m/>
    <n v="45.7"/>
  </r>
  <r>
    <s v="USR-101042"/>
    <d v="2025-01-11T00:00:00"/>
    <x v="1"/>
    <x v="1"/>
    <x v="1"/>
    <x v="1"/>
    <x v="0"/>
    <x v="0"/>
    <x v="0"/>
    <x v="0"/>
    <x v="0"/>
    <n v="0"/>
    <x v="1"/>
    <x v="0"/>
    <m/>
    <n v="42.2"/>
  </r>
  <r>
    <s v="USR-101043"/>
    <d v="2025-05-25T00:00:00"/>
    <x v="1"/>
    <x v="0"/>
    <x v="0"/>
    <x v="1"/>
    <x v="1"/>
    <x v="0"/>
    <x v="0"/>
    <x v="0"/>
    <x v="0"/>
    <n v="0"/>
    <x v="2"/>
    <x v="0"/>
    <m/>
    <n v="61.9"/>
  </r>
  <r>
    <s v="USR-101044"/>
    <d v="2025-05-08T00:00:00"/>
    <x v="1"/>
    <x v="2"/>
    <x v="1"/>
    <x v="2"/>
    <x v="2"/>
    <x v="0"/>
    <x v="0"/>
    <x v="0"/>
    <x v="0"/>
    <n v="0"/>
    <x v="0"/>
    <x v="0"/>
    <m/>
    <n v="44.9"/>
  </r>
  <r>
    <s v="USR-101045"/>
    <d v="2025-02-26T00:00:00"/>
    <x v="1"/>
    <x v="2"/>
    <x v="0"/>
    <x v="5"/>
    <x v="0"/>
    <x v="1"/>
    <x v="0"/>
    <x v="0"/>
    <x v="0"/>
    <n v="0"/>
    <x v="0"/>
    <x v="0"/>
    <m/>
    <n v="68"/>
  </r>
  <r>
    <s v="USR-101046"/>
    <d v="2025-03-30T00:00:00"/>
    <x v="1"/>
    <x v="0"/>
    <x v="1"/>
    <x v="2"/>
    <x v="1"/>
    <x v="1"/>
    <x v="0"/>
    <x v="0"/>
    <x v="0"/>
    <n v="0"/>
    <x v="0"/>
    <x v="0"/>
    <m/>
    <n v="61"/>
  </r>
  <r>
    <s v="USR-101047"/>
    <d v="2025-04-13T00:00:00"/>
    <x v="1"/>
    <x v="1"/>
    <x v="1"/>
    <x v="1"/>
    <x v="0"/>
    <x v="1"/>
    <x v="0"/>
    <x v="0"/>
    <x v="0"/>
    <n v="0"/>
    <x v="0"/>
    <x v="0"/>
    <m/>
    <n v="55"/>
  </r>
  <r>
    <s v="USR-101048"/>
    <d v="2025-02-20T00:00:00"/>
    <x v="1"/>
    <x v="2"/>
    <x v="3"/>
    <x v="2"/>
    <x v="0"/>
    <x v="1"/>
    <x v="0"/>
    <x v="0"/>
    <x v="0"/>
    <n v="0"/>
    <x v="0"/>
    <x v="0"/>
    <m/>
    <n v="63.1"/>
  </r>
  <r>
    <s v="USR-101049"/>
    <d v="2025-04-19T00:00:00"/>
    <x v="1"/>
    <x v="1"/>
    <x v="0"/>
    <x v="4"/>
    <x v="1"/>
    <x v="1"/>
    <x v="0"/>
    <x v="0"/>
    <x v="0"/>
    <n v="0"/>
    <x v="0"/>
    <x v="0"/>
    <m/>
    <n v="75.8"/>
  </r>
  <r>
    <s v="USR-101050"/>
    <d v="2025-03-22T00:00:00"/>
    <x v="1"/>
    <x v="3"/>
    <x v="1"/>
    <x v="2"/>
    <x v="1"/>
    <x v="1"/>
    <x v="1"/>
    <x v="0"/>
    <x v="0"/>
    <n v="0"/>
    <x v="1"/>
    <x v="0"/>
    <m/>
    <n v="43.8"/>
  </r>
  <r>
    <s v="USR-101051"/>
    <d v="2025-02-28T00:00:00"/>
    <x v="1"/>
    <x v="0"/>
    <x v="1"/>
    <x v="0"/>
    <x v="0"/>
    <x v="1"/>
    <x v="1"/>
    <x v="0"/>
    <x v="0"/>
    <n v="0"/>
    <x v="0"/>
    <x v="0"/>
    <m/>
    <n v="46.8"/>
  </r>
  <r>
    <s v="USR-101052"/>
    <d v="2025-05-24T00:00:00"/>
    <x v="1"/>
    <x v="2"/>
    <x v="1"/>
    <x v="4"/>
    <x v="1"/>
    <x v="1"/>
    <x v="1"/>
    <x v="1"/>
    <x v="0"/>
    <n v="0"/>
    <x v="0"/>
    <x v="0"/>
    <m/>
    <n v="97.4"/>
  </r>
  <r>
    <s v="USR-101053"/>
    <d v="2025-02-03T00:00:00"/>
    <x v="1"/>
    <x v="0"/>
    <x v="0"/>
    <x v="0"/>
    <x v="1"/>
    <x v="1"/>
    <x v="1"/>
    <x v="1"/>
    <x v="1"/>
    <n v="268.95999999999998"/>
    <x v="0"/>
    <x v="0"/>
    <n v="14"/>
    <n v="81"/>
  </r>
  <r>
    <s v="USR-101054"/>
    <d v="2025-01-27T00:00:00"/>
    <x v="1"/>
    <x v="3"/>
    <x v="1"/>
    <x v="1"/>
    <x v="1"/>
    <x v="1"/>
    <x v="0"/>
    <x v="0"/>
    <x v="0"/>
    <n v="0"/>
    <x v="1"/>
    <x v="0"/>
    <m/>
    <n v="58.9"/>
  </r>
  <r>
    <s v="USR-101055"/>
    <d v="2025-04-17T00:00:00"/>
    <x v="1"/>
    <x v="2"/>
    <x v="1"/>
    <x v="1"/>
    <x v="1"/>
    <x v="1"/>
    <x v="0"/>
    <x v="0"/>
    <x v="0"/>
    <n v="0"/>
    <x v="0"/>
    <x v="0"/>
    <m/>
    <n v="51.9"/>
  </r>
  <r>
    <s v="USR-101056"/>
    <d v="2025-02-06T00:00:00"/>
    <x v="1"/>
    <x v="1"/>
    <x v="1"/>
    <x v="4"/>
    <x v="1"/>
    <x v="1"/>
    <x v="1"/>
    <x v="0"/>
    <x v="0"/>
    <n v="0"/>
    <x v="0"/>
    <x v="0"/>
    <m/>
    <n v="61.7"/>
  </r>
  <r>
    <s v="USR-101057"/>
    <d v="2025-04-20T00:00:00"/>
    <x v="1"/>
    <x v="3"/>
    <x v="1"/>
    <x v="2"/>
    <x v="1"/>
    <x v="1"/>
    <x v="0"/>
    <x v="0"/>
    <x v="0"/>
    <n v="0"/>
    <x v="0"/>
    <x v="0"/>
    <m/>
    <n v="44.7"/>
  </r>
  <r>
    <s v="USR-101058"/>
    <d v="2025-05-06T00:00:00"/>
    <x v="1"/>
    <x v="0"/>
    <x v="1"/>
    <x v="2"/>
    <x v="0"/>
    <x v="0"/>
    <x v="0"/>
    <x v="0"/>
    <x v="0"/>
    <n v="0"/>
    <x v="0"/>
    <x v="0"/>
    <m/>
    <n v="63.2"/>
  </r>
  <r>
    <s v="USR-100917"/>
    <d v="2025-02-23T00:00:00"/>
    <x v="1"/>
    <x v="1"/>
    <x v="0"/>
    <x v="4"/>
    <x v="0"/>
    <x v="1"/>
    <x v="1"/>
    <x v="1"/>
    <x v="0"/>
    <n v="0"/>
    <x v="0"/>
    <x v="0"/>
    <m/>
    <n v="70.599999999999994"/>
  </r>
  <r>
    <s v="USR-101060"/>
    <d v="2025-03-02T00:00:00"/>
    <x v="1"/>
    <x v="3"/>
    <x v="1"/>
    <x v="2"/>
    <x v="2"/>
    <x v="1"/>
    <x v="1"/>
    <x v="0"/>
    <x v="0"/>
    <n v="0"/>
    <x v="1"/>
    <x v="0"/>
    <m/>
    <n v="83.1"/>
  </r>
  <r>
    <s v="USR-101061"/>
    <d v="2025-04-09T00:00:00"/>
    <x v="1"/>
    <x v="1"/>
    <x v="1"/>
    <x v="4"/>
    <x v="1"/>
    <x v="0"/>
    <x v="0"/>
    <x v="0"/>
    <x v="0"/>
    <n v="0"/>
    <x v="0"/>
    <x v="0"/>
    <m/>
    <n v="50.3"/>
  </r>
  <r>
    <s v="USR-101062"/>
    <d v="2025-01-26T00:00:00"/>
    <x v="1"/>
    <x v="2"/>
    <x v="1"/>
    <x v="2"/>
    <x v="1"/>
    <x v="1"/>
    <x v="1"/>
    <x v="1"/>
    <x v="1"/>
    <n v="437.09"/>
    <x v="2"/>
    <x v="1"/>
    <n v="1"/>
    <n v="58.2"/>
  </r>
  <r>
    <s v="USR-101063"/>
    <d v="2025-02-25T00:00:00"/>
    <x v="1"/>
    <x v="3"/>
    <x v="1"/>
    <x v="2"/>
    <x v="0"/>
    <x v="1"/>
    <x v="1"/>
    <x v="1"/>
    <x v="0"/>
    <n v="0"/>
    <x v="0"/>
    <x v="0"/>
    <m/>
    <n v="53.2"/>
  </r>
  <r>
    <s v="USR-101064"/>
    <d v="2025-01-07T00:00:00"/>
    <x v="1"/>
    <x v="2"/>
    <x v="1"/>
    <x v="1"/>
    <x v="2"/>
    <x v="0"/>
    <x v="0"/>
    <x v="0"/>
    <x v="0"/>
    <n v="0"/>
    <x v="0"/>
    <x v="0"/>
    <m/>
    <n v="36.4"/>
  </r>
  <r>
    <s v="USR-101065"/>
    <d v="2025-03-08T00:00:00"/>
    <x v="1"/>
    <x v="3"/>
    <x v="1"/>
    <x v="4"/>
    <x v="0"/>
    <x v="1"/>
    <x v="1"/>
    <x v="1"/>
    <x v="0"/>
    <n v="0"/>
    <x v="0"/>
    <x v="0"/>
    <m/>
    <n v="72.7"/>
  </r>
  <r>
    <s v="USR-101066"/>
    <d v="2025-05-22T00:00:00"/>
    <x v="1"/>
    <x v="2"/>
    <x v="1"/>
    <x v="3"/>
    <x v="1"/>
    <x v="1"/>
    <x v="0"/>
    <x v="0"/>
    <x v="0"/>
    <n v="0"/>
    <x v="1"/>
    <x v="0"/>
    <m/>
    <n v="86.7"/>
  </r>
  <r>
    <s v="USR-101067"/>
    <d v="2025-04-18T00:00:00"/>
    <x v="1"/>
    <x v="2"/>
    <x v="1"/>
    <x v="2"/>
    <x v="2"/>
    <x v="1"/>
    <x v="0"/>
    <x v="0"/>
    <x v="0"/>
    <n v="0"/>
    <x v="0"/>
    <x v="0"/>
    <m/>
    <n v="48.2"/>
  </r>
  <r>
    <s v="USR-101068"/>
    <d v="2025-02-24T00:00:00"/>
    <x v="1"/>
    <x v="1"/>
    <x v="1"/>
    <x v="3"/>
    <x v="0"/>
    <x v="0"/>
    <x v="0"/>
    <x v="0"/>
    <x v="0"/>
    <n v="0"/>
    <x v="1"/>
    <x v="0"/>
    <m/>
    <n v="57.6"/>
  </r>
  <r>
    <s v="USR-101069"/>
    <d v="2025-02-11T00:00:00"/>
    <x v="1"/>
    <x v="0"/>
    <x v="1"/>
    <x v="1"/>
    <x v="1"/>
    <x v="1"/>
    <x v="1"/>
    <x v="1"/>
    <x v="0"/>
    <n v="0"/>
    <x v="0"/>
    <x v="0"/>
    <m/>
    <n v="75.7"/>
  </r>
  <r>
    <s v="USR-101070"/>
    <d v="2025-03-11T00:00:00"/>
    <x v="1"/>
    <x v="1"/>
    <x v="0"/>
    <x v="2"/>
    <x v="1"/>
    <x v="1"/>
    <x v="0"/>
    <x v="0"/>
    <x v="0"/>
    <n v="0"/>
    <x v="2"/>
    <x v="0"/>
    <m/>
    <n v="48.6"/>
  </r>
  <r>
    <s v="USR-101071"/>
    <d v="2025-04-11T00:00:00"/>
    <x v="1"/>
    <x v="2"/>
    <x v="2"/>
    <x v="3"/>
    <x v="1"/>
    <x v="1"/>
    <x v="1"/>
    <x v="1"/>
    <x v="0"/>
    <n v="0"/>
    <x v="0"/>
    <x v="0"/>
    <m/>
    <n v="72"/>
  </r>
  <r>
    <s v="USR-101072"/>
    <d v="2025-03-11T00:00:00"/>
    <x v="1"/>
    <x v="0"/>
    <x v="1"/>
    <x v="1"/>
    <x v="1"/>
    <x v="0"/>
    <x v="0"/>
    <x v="0"/>
    <x v="0"/>
    <n v="0"/>
    <x v="0"/>
    <x v="0"/>
    <m/>
    <n v="72.2"/>
  </r>
  <r>
    <s v="USR-101073"/>
    <d v="2025-05-22T00:00:00"/>
    <x v="1"/>
    <x v="2"/>
    <x v="1"/>
    <x v="3"/>
    <x v="1"/>
    <x v="1"/>
    <x v="0"/>
    <x v="0"/>
    <x v="0"/>
    <n v="0"/>
    <x v="1"/>
    <x v="0"/>
    <m/>
    <m/>
  </r>
  <r>
    <s v="USR-101074"/>
    <d v="2025-02-22T00:00:00"/>
    <x v="1"/>
    <x v="3"/>
    <x v="0"/>
    <x v="1"/>
    <x v="1"/>
    <x v="1"/>
    <x v="1"/>
    <x v="1"/>
    <x v="1"/>
    <n v="331.53"/>
    <x v="2"/>
    <x v="0"/>
    <n v="4"/>
    <n v="56.8"/>
  </r>
  <r>
    <s v="USR-101075"/>
    <d v="2025-01-13T00:00:00"/>
    <x v="1"/>
    <x v="2"/>
    <x v="1"/>
    <x v="2"/>
    <x v="0"/>
    <x v="1"/>
    <x v="0"/>
    <x v="0"/>
    <x v="0"/>
    <n v="0"/>
    <x v="0"/>
    <x v="0"/>
    <m/>
    <n v="62.5"/>
  </r>
  <r>
    <s v="USR-101076"/>
    <d v="2025-05-19T00:00:00"/>
    <x v="1"/>
    <x v="3"/>
    <x v="1"/>
    <x v="1"/>
    <x v="1"/>
    <x v="1"/>
    <x v="0"/>
    <x v="0"/>
    <x v="0"/>
    <n v="0"/>
    <x v="0"/>
    <x v="0"/>
    <m/>
    <n v="63.4"/>
  </r>
  <r>
    <s v="USR-101077"/>
    <d v="2025-03-08T00:00:00"/>
    <x v="1"/>
    <x v="0"/>
    <x v="2"/>
    <x v="1"/>
    <x v="0"/>
    <x v="1"/>
    <x v="1"/>
    <x v="1"/>
    <x v="1"/>
    <n v="774.78"/>
    <x v="0"/>
    <x v="0"/>
    <n v="3"/>
    <n v="46.8"/>
  </r>
  <r>
    <s v="USR-101078"/>
    <d v="2025-04-20T00:00:00"/>
    <x v="1"/>
    <x v="3"/>
    <x v="1"/>
    <x v="1"/>
    <x v="1"/>
    <x v="1"/>
    <x v="1"/>
    <x v="1"/>
    <x v="1"/>
    <n v="422.02"/>
    <x v="0"/>
    <x v="0"/>
    <n v="8"/>
    <n v="86.5"/>
  </r>
  <r>
    <s v="USR-101079"/>
    <d v="2025-05-08T00:00:00"/>
    <x v="1"/>
    <x v="1"/>
    <x v="1"/>
    <x v="0"/>
    <x v="0"/>
    <x v="0"/>
    <x v="0"/>
    <x v="0"/>
    <x v="0"/>
    <n v="0"/>
    <x v="1"/>
    <x v="0"/>
    <m/>
    <n v="75.099999999999994"/>
  </r>
  <r>
    <s v="USR-101080"/>
    <d v="2025-05-10T00:00:00"/>
    <x v="1"/>
    <x v="3"/>
    <x v="1"/>
    <x v="1"/>
    <x v="0"/>
    <x v="1"/>
    <x v="0"/>
    <x v="0"/>
    <x v="0"/>
    <n v="0"/>
    <x v="0"/>
    <x v="0"/>
    <m/>
    <n v="64.5"/>
  </r>
  <r>
    <s v="USR-101081"/>
    <d v="2025-03-28T00:00:00"/>
    <x v="1"/>
    <x v="2"/>
    <x v="1"/>
    <x v="1"/>
    <x v="1"/>
    <x v="1"/>
    <x v="0"/>
    <x v="0"/>
    <x v="0"/>
    <n v="0"/>
    <x v="0"/>
    <x v="0"/>
    <m/>
    <n v="54.2"/>
  </r>
  <r>
    <s v="USR-101082"/>
    <d v="2025-04-30T00:00:00"/>
    <x v="1"/>
    <x v="2"/>
    <x v="1"/>
    <x v="2"/>
    <x v="2"/>
    <x v="1"/>
    <x v="1"/>
    <x v="1"/>
    <x v="0"/>
    <n v="0"/>
    <x v="0"/>
    <x v="0"/>
    <m/>
    <n v="84.1"/>
  </r>
  <r>
    <s v="USR-101083"/>
    <d v="2025-02-08T00:00:00"/>
    <x v="1"/>
    <x v="0"/>
    <x v="1"/>
    <x v="1"/>
    <x v="0"/>
    <x v="0"/>
    <x v="0"/>
    <x v="0"/>
    <x v="0"/>
    <n v="0"/>
    <x v="1"/>
    <x v="0"/>
    <m/>
    <n v="49.1"/>
  </r>
  <r>
    <s v="USR-101084"/>
    <d v="2025-03-07T00:00:00"/>
    <x v="1"/>
    <x v="3"/>
    <x v="1"/>
    <x v="3"/>
    <x v="2"/>
    <x v="0"/>
    <x v="0"/>
    <x v="0"/>
    <x v="0"/>
    <n v="0"/>
    <x v="0"/>
    <x v="0"/>
    <m/>
    <n v="92.7"/>
  </r>
  <r>
    <s v="USR-101085"/>
    <d v="2025-05-21T00:00:00"/>
    <x v="1"/>
    <x v="3"/>
    <x v="1"/>
    <x v="4"/>
    <x v="0"/>
    <x v="1"/>
    <x v="1"/>
    <x v="1"/>
    <x v="0"/>
    <n v="0"/>
    <x v="1"/>
    <x v="0"/>
    <m/>
    <n v="58.7"/>
  </r>
  <r>
    <s v="USR-101086"/>
    <d v="2025-04-12T00:00:00"/>
    <x v="1"/>
    <x v="3"/>
    <x v="1"/>
    <x v="4"/>
    <x v="1"/>
    <x v="1"/>
    <x v="1"/>
    <x v="1"/>
    <x v="0"/>
    <n v="0"/>
    <x v="0"/>
    <x v="0"/>
    <m/>
    <n v="59.3"/>
  </r>
  <r>
    <s v="USR-101087"/>
    <d v="2025-02-02T00:00:00"/>
    <x v="1"/>
    <x v="3"/>
    <x v="1"/>
    <x v="2"/>
    <x v="1"/>
    <x v="1"/>
    <x v="0"/>
    <x v="0"/>
    <x v="0"/>
    <n v="0"/>
    <x v="0"/>
    <x v="0"/>
    <m/>
    <n v="62"/>
  </r>
  <r>
    <s v="USR-101088"/>
    <d v="2025-04-22T00:00:00"/>
    <x v="1"/>
    <x v="0"/>
    <x v="2"/>
    <x v="3"/>
    <x v="1"/>
    <x v="1"/>
    <x v="1"/>
    <x v="1"/>
    <x v="0"/>
    <n v="0"/>
    <x v="1"/>
    <x v="0"/>
    <m/>
    <n v="60.3"/>
  </r>
  <r>
    <s v="USR-101089"/>
    <d v="2025-02-08T00:00:00"/>
    <x v="1"/>
    <x v="0"/>
    <x v="1"/>
    <x v="4"/>
    <x v="0"/>
    <x v="1"/>
    <x v="0"/>
    <x v="0"/>
    <x v="0"/>
    <n v="0"/>
    <x v="0"/>
    <x v="0"/>
    <m/>
    <n v="70.5"/>
  </r>
  <r>
    <s v="USR-101090"/>
    <d v="2025-01-24T00:00:00"/>
    <x v="1"/>
    <x v="3"/>
    <x v="0"/>
    <x v="0"/>
    <x v="1"/>
    <x v="1"/>
    <x v="0"/>
    <x v="0"/>
    <x v="0"/>
    <n v="0"/>
    <x v="0"/>
    <x v="0"/>
    <m/>
    <n v="36.799999999999997"/>
  </r>
  <r>
    <s v="USR-101091"/>
    <d v="2025-05-12T00:00:00"/>
    <x v="1"/>
    <x v="3"/>
    <x v="1"/>
    <x v="2"/>
    <x v="0"/>
    <x v="0"/>
    <x v="0"/>
    <x v="0"/>
    <x v="0"/>
    <n v="0"/>
    <x v="1"/>
    <x v="0"/>
    <m/>
    <n v="73.2"/>
  </r>
  <r>
    <s v="USR-101092"/>
    <d v="2025-03-30T00:00:00"/>
    <x v="1"/>
    <x v="0"/>
    <x v="1"/>
    <x v="1"/>
    <x v="0"/>
    <x v="0"/>
    <x v="0"/>
    <x v="0"/>
    <x v="0"/>
    <n v="0"/>
    <x v="0"/>
    <x v="0"/>
    <m/>
    <n v="70.099999999999994"/>
  </r>
  <r>
    <s v="USR-101093"/>
    <d v="2025-01-02T00:00:00"/>
    <x v="1"/>
    <x v="3"/>
    <x v="0"/>
    <x v="2"/>
    <x v="0"/>
    <x v="1"/>
    <x v="0"/>
    <x v="0"/>
    <x v="0"/>
    <n v="0"/>
    <x v="0"/>
    <x v="0"/>
    <m/>
    <n v="76.400000000000006"/>
  </r>
  <r>
    <s v="USR-101094"/>
    <d v="2025-03-21T00:00:00"/>
    <x v="1"/>
    <x v="3"/>
    <x v="2"/>
    <x v="0"/>
    <x v="0"/>
    <x v="0"/>
    <x v="0"/>
    <x v="0"/>
    <x v="0"/>
    <n v="0"/>
    <x v="0"/>
    <x v="0"/>
    <m/>
    <n v="46.4"/>
  </r>
  <r>
    <s v="USR-101095"/>
    <d v="2025-01-25T00:00:00"/>
    <x v="1"/>
    <x v="1"/>
    <x v="1"/>
    <x v="1"/>
    <x v="1"/>
    <x v="1"/>
    <x v="1"/>
    <x v="1"/>
    <x v="0"/>
    <n v="0"/>
    <x v="1"/>
    <x v="0"/>
    <m/>
    <n v="81.3"/>
  </r>
  <r>
    <s v="USR-101096"/>
    <d v="2025-01-12T00:00:00"/>
    <x v="1"/>
    <x v="3"/>
    <x v="2"/>
    <x v="4"/>
    <x v="1"/>
    <x v="1"/>
    <x v="1"/>
    <x v="1"/>
    <x v="0"/>
    <n v="0"/>
    <x v="0"/>
    <x v="0"/>
    <m/>
    <n v="55.3"/>
  </r>
  <r>
    <s v="USR-101097"/>
    <d v="2025-03-18T00:00:00"/>
    <x v="1"/>
    <x v="2"/>
    <x v="0"/>
    <x v="3"/>
    <x v="1"/>
    <x v="1"/>
    <x v="0"/>
    <x v="0"/>
    <x v="0"/>
    <n v="0"/>
    <x v="0"/>
    <x v="0"/>
    <m/>
    <n v="44.7"/>
  </r>
  <r>
    <s v="USR-101098"/>
    <d v="2025-03-26T00:00:00"/>
    <x v="1"/>
    <x v="2"/>
    <x v="1"/>
    <x v="2"/>
    <x v="0"/>
    <x v="1"/>
    <x v="0"/>
    <x v="0"/>
    <x v="0"/>
    <n v="0"/>
    <x v="0"/>
    <x v="0"/>
    <m/>
    <n v="67.2"/>
  </r>
  <r>
    <s v="USR-101099"/>
    <d v="2025-04-19T00:00:00"/>
    <x v="1"/>
    <x v="0"/>
    <x v="1"/>
    <x v="2"/>
    <x v="0"/>
    <x v="1"/>
    <x v="0"/>
    <x v="0"/>
    <x v="0"/>
    <n v="0"/>
    <x v="0"/>
    <x v="0"/>
    <m/>
    <m/>
  </r>
  <r>
    <s v="USR-101100"/>
    <d v="2025-04-17T00:00:00"/>
    <x v="1"/>
    <x v="2"/>
    <x v="1"/>
    <x v="1"/>
    <x v="2"/>
    <x v="1"/>
    <x v="1"/>
    <x v="1"/>
    <x v="0"/>
    <n v="0"/>
    <x v="1"/>
    <x v="0"/>
    <m/>
    <n v="70.8"/>
  </r>
  <r>
    <s v="USR-101101"/>
    <d v="2025-05-26T00:00:00"/>
    <x v="1"/>
    <x v="3"/>
    <x v="1"/>
    <x v="2"/>
    <x v="1"/>
    <x v="1"/>
    <x v="0"/>
    <x v="0"/>
    <x v="0"/>
    <n v="0"/>
    <x v="0"/>
    <x v="0"/>
    <m/>
    <n v="71.3"/>
  </r>
  <r>
    <s v="USR-101102"/>
    <d v="2025-04-14T00:00:00"/>
    <x v="1"/>
    <x v="0"/>
    <x v="1"/>
    <x v="4"/>
    <x v="2"/>
    <x v="1"/>
    <x v="1"/>
    <x v="1"/>
    <x v="0"/>
    <n v="0"/>
    <x v="0"/>
    <x v="0"/>
    <m/>
    <n v="69.400000000000006"/>
  </r>
  <r>
    <s v="USR-101103"/>
    <d v="2025-01-23T00:00:00"/>
    <x v="1"/>
    <x v="3"/>
    <x v="1"/>
    <x v="1"/>
    <x v="0"/>
    <x v="1"/>
    <x v="1"/>
    <x v="0"/>
    <x v="0"/>
    <n v="0"/>
    <x v="0"/>
    <x v="0"/>
    <m/>
    <n v="58.9"/>
  </r>
  <r>
    <s v="USR-101104"/>
    <d v="2025-01-06T00:00:00"/>
    <x v="1"/>
    <x v="2"/>
    <x v="1"/>
    <x v="3"/>
    <x v="1"/>
    <x v="0"/>
    <x v="0"/>
    <x v="0"/>
    <x v="0"/>
    <n v="0"/>
    <x v="0"/>
    <x v="0"/>
    <m/>
    <n v="70.7"/>
  </r>
  <r>
    <s v="USR-101105"/>
    <d v="2025-05-31T00:00:00"/>
    <x v="1"/>
    <x v="1"/>
    <x v="1"/>
    <x v="0"/>
    <x v="0"/>
    <x v="1"/>
    <x v="0"/>
    <x v="0"/>
    <x v="0"/>
    <n v="0"/>
    <x v="0"/>
    <x v="0"/>
    <m/>
    <n v="60.5"/>
  </r>
  <r>
    <s v="USR-101106"/>
    <d v="2025-05-19T00:00:00"/>
    <x v="1"/>
    <x v="0"/>
    <x v="1"/>
    <x v="1"/>
    <x v="0"/>
    <x v="1"/>
    <x v="1"/>
    <x v="1"/>
    <x v="0"/>
    <n v="0"/>
    <x v="0"/>
    <x v="0"/>
    <m/>
    <n v="77.3"/>
  </r>
  <r>
    <s v="USR-101107"/>
    <d v="2025-02-25T00:00:00"/>
    <x v="1"/>
    <x v="0"/>
    <x v="1"/>
    <x v="1"/>
    <x v="1"/>
    <x v="0"/>
    <x v="0"/>
    <x v="0"/>
    <x v="0"/>
    <n v="0"/>
    <x v="1"/>
    <x v="0"/>
    <m/>
    <n v="39.5"/>
  </r>
  <r>
    <s v="USR-101108"/>
    <d v="2025-01-10T00:00:00"/>
    <x v="1"/>
    <x v="3"/>
    <x v="2"/>
    <x v="1"/>
    <x v="0"/>
    <x v="1"/>
    <x v="0"/>
    <x v="0"/>
    <x v="0"/>
    <n v="0"/>
    <x v="0"/>
    <x v="0"/>
    <m/>
    <n v="68.099999999999994"/>
  </r>
  <r>
    <s v="USR-101109"/>
    <d v="2025-05-13T00:00:00"/>
    <x v="1"/>
    <x v="0"/>
    <x v="2"/>
    <x v="2"/>
    <x v="1"/>
    <x v="0"/>
    <x v="0"/>
    <x v="0"/>
    <x v="0"/>
    <n v="0"/>
    <x v="0"/>
    <x v="0"/>
    <m/>
    <n v="80.3"/>
  </r>
  <r>
    <s v="USR-101110"/>
    <d v="2025-04-27T00:00:00"/>
    <x v="1"/>
    <x v="1"/>
    <x v="0"/>
    <x v="1"/>
    <x v="2"/>
    <x v="1"/>
    <x v="0"/>
    <x v="0"/>
    <x v="0"/>
    <n v="0"/>
    <x v="0"/>
    <x v="0"/>
    <m/>
    <n v="77.7"/>
  </r>
  <r>
    <s v="USR-101111"/>
    <d v="2025-04-03T00:00:00"/>
    <x v="1"/>
    <x v="3"/>
    <x v="1"/>
    <x v="1"/>
    <x v="1"/>
    <x v="1"/>
    <x v="0"/>
    <x v="0"/>
    <x v="0"/>
    <n v="0"/>
    <x v="1"/>
    <x v="0"/>
    <m/>
    <n v="66.2"/>
  </r>
  <r>
    <s v="USR-101112"/>
    <d v="2025-03-26T00:00:00"/>
    <x v="1"/>
    <x v="3"/>
    <x v="1"/>
    <x v="1"/>
    <x v="1"/>
    <x v="1"/>
    <x v="1"/>
    <x v="1"/>
    <x v="0"/>
    <n v="0"/>
    <x v="1"/>
    <x v="0"/>
    <m/>
    <n v="43.9"/>
  </r>
  <r>
    <s v="USR-101113"/>
    <d v="2025-01-31T00:00:00"/>
    <x v="1"/>
    <x v="3"/>
    <x v="1"/>
    <x v="1"/>
    <x v="0"/>
    <x v="1"/>
    <x v="1"/>
    <x v="1"/>
    <x v="0"/>
    <n v="0"/>
    <x v="2"/>
    <x v="0"/>
    <m/>
    <n v="59.1"/>
  </r>
  <r>
    <s v="USR-101114"/>
    <d v="2025-01-25T00:00:00"/>
    <x v="1"/>
    <x v="3"/>
    <x v="1"/>
    <x v="4"/>
    <x v="1"/>
    <x v="1"/>
    <x v="1"/>
    <x v="1"/>
    <x v="1"/>
    <n v="416.94"/>
    <x v="1"/>
    <x v="0"/>
    <n v="11"/>
    <n v="67"/>
  </r>
  <r>
    <s v="USR-101115"/>
    <d v="2025-02-06T00:00:00"/>
    <x v="1"/>
    <x v="1"/>
    <x v="1"/>
    <x v="3"/>
    <x v="0"/>
    <x v="1"/>
    <x v="0"/>
    <x v="0"/>
    <x v="0"/>
    <n v="0"/>
    <x v="0"/>
    <x v="0"/>
    <m/>
    <n v="47.9"/>
  </r>
  <r>
    <s v="USR-101116"/>
    <d v="2025-03-10T00:00:00"/>
    <x v="1"/>
    <x v="2"/>
    <x v="1"/>
    <x v="2"/>
    <x v="1"/>
    <x v="1"/>
    <x v="1"/>
    <x v="0"/>
    <x v="0"/>
    <n v="0"/>
    <x v="0"/>
    <x v="0"/>
    <m/>
    <n v="41.5"/>
  </r>
  <r>
    <s v="USR-101117"/>
    <d v="2025-01-26T00:00:00"/>
    <x v="1"/>
    <x v="1"/>
    <x v="1"/>
    <x v="1"/>
    <x v="0"/>
    <x v="1"/>
    <x v="1"/>
    <x v="1"/>
    <x v="0"/>
    <n v="0"/>
    <x v="3"/>
    <x v="0"/>
    <m/>
    <n v="30.6"/>
  </r>
  <r>
    <s v="USR-101118"/>
    <d v="2025-01-01T00:00:00"/>
    <x v="1"/>
    <x v="2"/>
    <x v="1"/>
    <x v="2"/>
    <x v="1"/>
    <x v="1"/>
    <x v="1"/>
    <x v="0"/>
    <x v="0"/>
    <n v="0"/>
    <x v="0"/>
    <x v="0"/>
    <m/>
    <n v="91.5"/>
  </r>
  <r>
    <s v="USR-101119"/>
    <d v="2025-04-28T00:00:00"/>
    <x v="1"/>
    <x v="0"/>
    <x v="0"/>
    <x v="4"/>
    <x v="0"/>
    <x v="1"/>
    <x v="0"/>
    <x v="0"/>
    <x v="0"/>
    <n v="0"/>
    <x v="0"/>
    <x v="0"/>
    <m/>
    <n v="80.8"/>
  </r>
  <r>
    <s v="USR-101120"/>
    <d v="2025-04-04T00:00:00"/>
    <x v="1"/>
    <x v="0"/>
    <x v="1"/>
    <x v="1"/>
    <x v="2"/>
    <x v="1"/>
    <x v="0"/>
    <x v="0"/>
    <x v="0"/>
    <n v="0"/>
    <x v="0"/>
    <x v="0"/>
    <m/>
    <n v="68.099999999999994"/>
  </r>
  <r>
    <s v="USR-101121"/>
    <d v="2025-03-02T00:00:00"/>
    <x v="1"/>
    <x v="2"/>
    <x v="1"/>
    <x v="2"/>
    <x v="1"/>
    <x v="1"/>
    <x v="0"/>
    <x v="0"/>
    <x v="0"/>
    <n v="0"/>
    <x v="0"/>
    <x v="0"/>
    <m/>
    <n v="80.3"/>
  </r>
  <r>
    <s v="USR-101122"/>
    <d v="2025-03-19T00:00:00"/>
    <x v="1"/>
    <x v="3"/>
    <x v="2"/>
    <x v="1"/>
    <x v="0"/>
    <x v="1"/>
    <x v="0"/>
    <x v="0"/>
    <x v="0"/>
    <n v="0"/>
    <x v="0"/>
    <x v="0"/>
    <m/>
    <n v="44.4"/>
  </r>
  <r>
    <s v="USR-101123"/>
    <d v="2025-01-20T00:00:00"/>
    <x v="1"/>
    <x v="3"/>
    <x v="0"/>
    <x v="1"/>
    <x v="0"/>
    <x v="0"/>
    <x v="0"/>
    <x v="0"/>
    <x v="0"/>
    <n v="0"/>
    <x v="0"/>
    <x v="0"/>
    <m/>
    <n v="51.9"/>
  </r>
  <r>
    <s v="USR-101124"/>
    <d v="2025-04-03T00:00:00"/>
    <x v="1"/>
    <x v="2"/>
    <x v="1"/>
    <x v="2"/>
    <x v="1"/>
    <x v="1"/>
    <x v="1"/>
    <x v="0"/>
    <x v="0"/>
    <n v="0"/>
    <x v="0"/>
    <x v="0"/>
    <m/>
    <n v="49.8"/>
  </r>
  <r>
    <s v="USR-101125"/>
    <d v="2025-01-11T00:00:00"/>
    <x v="1"/>
    <x v="2"/>
    <x v="0"/>
    <x v="4"/>
    <x v="1"/>
    <x v="1"/>
    <x v="1"/>
    <x v="1"/>
    <x v="0"/>
    <n v="0"/>
    <x v="3"/>
    <x v="0"/>
    <m/>
    <n v="62.1"/>
  </r>
  <r>
    <s v="USR-101126"/>
    <d v="2025-02-02T00:00:00"/>
    <x v="1"/>
    <x v="1"/>
    <x v="0"/>
    <x v="4"/>
    <x v="0"/>
    <x v="1"/>
    <x v="0"/>
    <x v="0"/>
    <x v="0"/>
    <n v="0"/>
    <x v="0"/>
    <x v="0"/>
    <m/>
    <n v="91.3"/>
  </r>
  <r>
    <s v="USR-101127"/>
    <d v="2025-04-01T00:00:00"/>
    <x v="1"/>
    <x v="3"/>
    <x v="1"/>
    <x v="1"/>
    <x v="0"/>
    <x v="1"/>
    <x v="0"/>
    <x v="0"/>
    <x v="0"/>
    <n v="0"/>
    <x v="0"/>
    <x v="0"/>
    <m/>
    <n v="66.400000000000006"/>
  </r>
  <r>
    <s v="USR-101128"/>
    <d v="2025-05-22T00:00:00"/>
    <x v="1"/>
    <x v="2"/>
    <x v="1"/>
    <x v="1"/>
    <x v="0"/>
    <x v="1"/>
    <x v="0"/>
    <x v="0"/>
    <x v="0"/>
    <n v="0"/>
    <x v="0"/>
    <x v="0"/>
    <m/>
    <n v="41.5"/>
  </r>
  <r>
    <s v="USR-101129"/>
    <d v="2025-02-20T00:00:00"/>
    <x v="1"/>
    <x v="1"/>
    <x v="1"/>
    <x v="1"/>
    <x v="0"/>
    <x v="0"/>
    <x v="0"/>
    <x v="0"/>
    <x v="0"/>
    <n v="0"/>
    <x v="0"/>
    <x v="0"/>
    <m/>
    <n v="77.099999999999994"/>
  </r>
  <r>
    <s v="USR-101130"/>
    <d v="2025-03-21T00:00:00"/>
    <x v="1"/>
    <x v="1"/>
    <x v="1"/>
    <x v="1"/>
    <x v="1"/>
    <x v="1"/>
    <x v="0"/>
    <x v="0"/>
    <x v="0"/>
    <n v="0"/>
    <x v="0"/>
    <x v="0"/>
    <m/>
    <n v="63.2"/>
  </r>
  <r>
    <s v="USR-101131"/>
    <d v="2025-05-01T00:00:00"/>
    <x v="1"/>
    <x v="1"/>
    <x v="0"/>
    <x v="3"/>
    <x v="1"/>
    <x v="1"/>
    <x v="1"/>
    <x v="1"/>
    <x v="0"/>
    <n v="0"/>
    <x v="3"/>
    <x v="0"/>
    <m/>
    <n v="75.7"/>
  </r>
  <r>
    <s v="USR-101132"/>
    <d v="2025-01-06T00:00:00"/>
    <x v="1"/>
    <x v="1"/>
    <x v="1"/>
    <x v="2"/>
    <x v="0"/>
    <x v="0"/>
    <x v="0"/>
    <x v="0"/>
    <x v="0"/>
    <n v="0"/>
    <x v="0"/>
    <x v="0"/>
    <m/>
    <n v="62.9"/>
  </r>
  <r>
    <s v="USR-101133"/>
    <d v="2025-04-12T00:00:00"/>
    <x v="1"/>
    <x v="0"/>
    <x v="0"/>
    <x v="2"/>
    <x v="2"/>
    <x v="1"/>
    <x v="0"/>
    <x v="0"/>
    <x v="0"/>
    <n v="0"/>
    <x v="3"/>
    <x v="0"/>
    <m/>
    <n v="64.599999999999994"/>
  </r>
  <r>
    <s v="USR-101134"/>
    <d v="2025-04-18T00:00:00"/>
    <x v="1"/>
    <x v="0"/>
    <x v="1"/>
    <x v="5"/>
    <x v="0"/>
    <x v="1"/>
    <x v="0"/>
    <x v="0"/>
    <x v="0"/>
    <n v="0"/>
    <x v="0"/>
    <x v="0"/>
    <m/>
    <n v="76.599999999999994"/>
  </r>
  <r>
    <s v="USR-101135"/>
    <d v="2025-03-24T00:00:00"/>
    <x v="1"/>
    <x v="2"/>
    <x v="1"/>
    <x v="4"/>
    <x v="0"/>
    <x v="1"/>
    <x v="0"/>
    <x v="0"/>
    <x v="0"/>
    <n v="0"/>
    <x v="0"/>
    <x v="0"/>
    <m/>
    <n v="74.8"/>
  </r>
  <r>
    <s v="USR-101136"/>
    <d v="2025-03-18T00:00:00"/>
    <x v="1"/>
    <x v="2"/>
    <x v="0"/>
    <x v="0"/>
    <x v="2"/>
    <x v="1"/>
    <x v="0"/>
    <x v="0"/>
    <x v="0"/>
    <n v="0"/>
    <x v="2"/>
    <x v="0"/>
    <m/>
    <n v="38.1"/>
  </r>
  <r>
    <s v="USR-101137"/>
    <d v="2025-04-30T00:00:00"/>
    <x v="1"/>
    <x v="3"/>
    <x v="2"/>
    <x v="2"/>
    <x v="0"/>
    <x v="1"/>
    <x v="1"/>
    <x v="0"/>
    <x v="0"/>
    <n v="0"/>
    <x v="0"/>
    <x v="0"/>
    <m/>
    <n v="60.2"/>
  </r>
  <r>
    <s v="USR-101138"/>
    <d v="2025-01-25T00:00:00"/>
    <x v="1"/>
    <x v="1"/>
    <x v="1"/>
    <x v="0"/>
    <x v="1"/>
    <x v="1"/>
    <x v="1"/>
    <x v="0"/>
    <x v="0"/>
    <n v="0"/>
    <x v="0"/>
    <x v="0"/>
    <m/>
    <n v="73.5"/>
  </r>
  <r>
    <s v="USR-101139"/>
    <d v="2025-04-10T00:00:00"/>
    <x v="1"/>
    <x v="3"/>
    <x v="1"/>
    <x v="1"/>
    <x v="1"/>
    <x v="1"/>
    <x v="0"/>
    <x v="0"/>
    <x v="0"/>
    <n v="0"/>
    <x v="0"/>
    <x v="0"/>
    <m/>
    <n v="70.900000000000006"/>
  </r>
  <r>
    <s v="USR-101140"/>
    <d v="2025-01-10T00:00:00"/>
    <x v="1"/>
    <x v="1"/>
    <x v="1"/>
    <x v="4"/>
    <x v="1"/>
    <x v="1"/>
    <x v="0"/>
    <x v="0"/>
    <x v="0"/>
    <n v="0"/>
    <x v="0"/>
    <x v="0"/>
    <m/>
    <n v="63.7"/>
  </r>
  <r>
    <s v="USR-101141"/>
    <d v="2025-02-11T00:00:00"/>
    <x v="1"/>
    <x v="3"/>
    <x v="1"/>
    <x v="2"/>
    <x v="1"/>
    <x v="1"/>
    <x v="0"/>
    <x v="0"/>
    <x v="0"/>
    <n v="0"/>
    <x v="0"/>
    <x v="0"/>
    <m/>
    <n v="86.5"/>
  </r>
  <r>
    <s v="USR-101142"/>
    <d v="2025-05-01T00:00:00"/>
    <x v="1"/>
    <x v="2"/>
    <x v="1"/>
    <x v="4"/>
    <x v="0"/>
    <x v="1"/>
    <x v="1"/>
    <x v="1"/>
    <x v="1"/>
    <n v="921.72"/>
    <x v="3"/>
    <x v="0"/>
    <n v="7"/>
    <n v="74.599999999999994"/>
  </r>
  <r>
    <s v="USR-101143"/>
    <d v="2025-01-18T00:00:00"/>
    <x v="1"/>
    <x v="2"/>
    <x v="1"/>
    <x v="1"/>
    <x v="1"/>
    <x v="1"/>
    <x v="0"/>
    <x v="0"/>
    <x v="0"/>
    <n v="0"/>
    <x v="0"/>
    <x v="0"/>
    <m/>
    <n v="46.6"/>
  </r>
  <r>
    <s v="USR-101144"/>
    <d v="2025-01-02T00:00:00"/>
    <x v="1"/>
    <x v="0"/>
    <x v="1"/>
    <x v="2"/>
    <x v="1"/>
    <x v="0"/>
    <x v="0"/>
    <x v="0"/>
    <x v="0"/>
    <n v="0"/>
    <x v="0"/>
    <x v="0"/>
    <m/>
    <n v="61.2"/>
  </r>
  <r>
    <s v="USR-101145"/>
    <d v="2025-05-11T00:00:00"/>
    <x v="1"/>
    <x v="1"/>
    <x v="1"/>
    <x v="1"/>
    <x v="1"/>
    <x v="1"/>
    <x v="1"/>
    <x v="1"/>
    <x v="1"/>
    <n v="290.39"/>
    <x v="0"/>
    <x v="0"/>
    <n v="4"/>
    <n v="54.4"/>
  </r>
  <r>
    <s v="USR-101146"/>
    <d v="2025-03-22T00:00:00"/>
    <x v="1"/>
    <x v="0"/>
    <x v="1"/>
    <x v="3"/>
    <x v="1"/>
    <x v="1"/>
    <x v="1"/>
    <x v="1"/>
    <x v="0"/>
    <n v="0"/>
    <x v="0"/>
    <x v="0"/>
    <m/>
    <n v="72"/>
  </r>
  <r>
    <s v="USR-101147"/>
    <d v="2025-05-02T00:00:00"/>
    <x v="1"/>
    <x v="3"/>
    <x v="1"/>
    <x v="4"/>
    <x v="2"/>
    <x v="1"/>
    <x v="1"/>
    <x v="1"/>
    <x v="1"/>
    <n v="1858.85"/>
    <x v="0"/>
    <x v="0"/>
    <n v="8"/>
    <n v="88.6"/>
  </r>
  <r>
    <s v="USR-101148"/>
    <d v="2025-05-26T00:00:00"/>
    <x v="1"/>
    <x v="2"/>
    <x v="0"/>
    <x v="5"/>
    <x v="0"/>
    <x v="1"/>
    <x v="0"/>
    <x v="0"/>
    <x v="0"/>
    <n v="0"/>
    <x v="0"/>
    <x v="0"/>
    <m/>
    <n v="77.599999999999994"/>
  </r>
  <r>
    <s v="USR-101149"/>
    <d v="2025-03-13T00:00:00"/>
    <x v="1"/>
    <x v="3"/>
    <x v="1"/>
    <x v="1"/>
    <x v="0"/>
    <x v="1"/>
    <x v="0"/>
    <x v="0"/>
    <x v="0"/>
    <n v="0"/>
    <x v="1"/>
    <x v="0"/>
    <m/>
    <n v="44.3"/>
  </r>
  <r>
    <s v="USR-101150"/>
    <d v="2025-05-17T00:00:00"/>
    <x v="1"/>
    <x v="3"/>
    <x v="0"/>
    <x v="2"/>
    <x v="1"/>
    <x v="1"/>
    <x v="1"/>
    <x v="0"/>
    <x v="0"/>
    <n v="0"/>
    <x v="0"/>
    <x v="0"/>
    <m/>
    <n v="49"/>
  </r>
  <r>
    <s v="USR-101151"/>
    <d v="2025-03-13T00:00:00"/>
    <x v="1"/>
    <x v="0"/>
    <x v="0"/>
    <x v="3"/>
    <x v="2"/>
    <x v="1"/>
    <x v="0"/>
    <x v="0"/>
    <x v="0"/>
    <n v="0"/>
    <x v="0"/>
    <x v="0"/>
    <m/>
    <n v="53.9"/>
  </r>
  <r>
    <s v="USR-101152"/>
    <d v="2025-02-11T00:00:00"/>
    <x v="1"/>
    <x v="2"/>
    <x v="0"/>
    <x v="1"/>
    <x v="0"/>
    <x v="1"/>
    <x v="0"/>
    <x v="0"/>
    <x v="0"/>
    <n v="0"/>
    <x v="1"/>
    <x v="0"/>
    <m/>
    <n v="69"/>
  </r>
  <r>
    <s v="USR-101153"/>
    <d v="2025-03-01T00:00:00"/>
    <x v="1"/>
    <x v="1"/>
    <x v="1"/>
    <x v="4"/>
    <x v="1"/>
    <x v="0"/>
    <x v="0"/>
    <x v="0"/>
    <x v="0"/>
    <n v="0"/>
    <x v="0"/>
    <x v="0"/>
    <m/>
    <n v="37.4"/>
  </r>
  <r>
    <s v="USR-101154"/>
    <d v="2025-04-15T00:00:00"/>
    <x v="1"/>
    <x v="1"/>
    <x v="1"/>
    <x v="1"/>
    <x v="0"/>
    <x v="0"/>
    <x v="0"/>
    <x v="0"/>
    <x v="0"/>
    <n v="0"/>
    <x v="0"/>
    <x v="0"/>
    <m/>
    <n v="59"/>
  </r>
  <r>
    <s v="USR-101155"/>
    <d v="2025-02-02T00:00:00"/>
    <x v="1"/>
    <x v="2"/>
    <x v="1"/>
    <x v="1"/>
    <x v="2"/>
    <x v="1"/>
    <x v="0"/>
    <x v="0"/>
    <x v="0"/>
    <n v="0"/>
    <x v="0"/>
    <x v="0"/>
    <m/>
    <n v="60.8"/>
  </r>
  <r>
    <s v="USR-101156"/>
    <d v="2025-05-19T00:00:00"/>
    <x v="1"/>
    <x v="3"/>
    <x v="1"/>
    <x v="0"/>
    <x v="1"/>
    <x v="1"/>
    <x v="0"/>
    <x v="0"/>
    <x v="0"/>
    <n v="0"/>
    <x v="0"/>
    <x v="0"/>
    <m/>
    <n v="57.5"/>
  </r>
  <r>
    <s v="USR-101157"/>
    <d v="2025-01-05T00:00:00"/>
    <x v="1"/>
    <x v="1"/>
    <x v="1"/>
    <x v="3"/>
    <x v="1"/>
    <x v="0"/>
    <x v="0"/>
    <x v="0"/>
    <x v="0"/>
    <n v="0"/>
    <x v="0"/>
    <x v="0"/>
    <m/>
    <n v="84.2"/>
  </r>
  <r>
    <s v="USR-101158"/>
    <d v="2025-03-08T00:00:00"/>
    <x v="1"/>
    <x v="3"/>
    <x v="1"/>
    <x v="2"/>
    <x v="1"/>
    <x v="1"/>
    <x v="1"/>
    <x v="0"/>
    <x v="0"/>
    <n v="0"/>
    <x v="0"/>
    <x v="0"/>
    <m/>
    <n v="27.4"/>
  </r>
  <r>
    <s v="USR-101159"/>
    <d v="2025-03-12T00:00:00"/>
    <x v="1"/>
    <x v="1"/>
    <x v="1"/>
    <x v="0"/>
    <x v="0"/>
    <x v="1"/>
    <x v="0"/>
    <x v="0"/>
    <x v="0"/>
    <n v="0"/>
    <x v="1"/>
    <x v="0"/>
    <m/>
    <n v="67.599999999999994"/>
  </r>
  <r>
    <s v="USR-101160"/>
    <d v="2025-01-24T00:00:00"/>
    <x v="1"/>
    <x v="1"/>
    <x v="1"/>
    <x v="1"/>
    <x v="1"/>
    <x v="0"/>
    <x v="0"/>
    <x v="0"/>
    <x v="0"/>
    <n v="0"/>
    <x v="0"/>
    <x v="0"/>
    <m/>
    <n v="68.400000000000006"/>
  </r>
  <r>
    <s v="USR-101161"/>
    <d v="2025-05-22T00:00:00"/>
    <x v="1"/>
    <x v="3"/>
    <x v="1"/>
    <x v="2"/>
    <x v="0"/>
    <x v="1"/>
    <x v="1"/>
    <x v="1"/>
    <x v="0"/>
    <n v="0"/>
    <x v="0"/>
    <x v="0"/>
    <m/>
    <n v="66.5"/>
  </r>
  <r>
    <s v="USR-101162"/>
    <d v="2025-03-27T00:00:00"/>
    <x v="1"/>
    <x v="3"/>
    <x v="1"/>
    <x v="2"/>
    <x v="1"/>
    <x v="1"/>
    <x v="0"/>
    <x v="0"/>
    <x v="0"/>
    <n v="0"/>
    <x v="0"/>
    <x v="0"/>
    <m/>
    <n v="38.200000000000003"/>
  </r>
  <r>
    <s v="USR-101163"/>
    <d v="2025-01-02T00:00:00"/>
    <x v="1"/>
    <x v="1"/>
    <x v="1"/>
    <x v="4"/>
    <x v="1"/>
    <x v="0"/>
    <x v="0"/>
    <x v="0"/>
    <x v="0"/>
    <n v="0"/>
    <x v="1"/>
    <x v="0"/>
    <m/>
    <n v="66.7"/>
  </r>
  <r>
    <s v="USR-101164"/>
    <d v="2025-02-24T00:00:00"/>
    <x v="1"/>
    <x v="0"/>
    <x v="1"/>
    <x v="2"/>
    <x v="1"/>
    <x v="0"/>
    <x v="0"/>
    <x v="0"/>
    <x v="0"/>
    <n v="0"/>
    <x v="1"/>
    <x v="0"/>
    <m/>
    <n v="73.7"/>
  </r>
  <r>
    <s v="USR-101165"/>
    <d v="2025-03-01T00:00:00"/>
    <x v="1"/>
    <x v="1"/>
    <x v="0"/>
    <x v="1"/>
    <x v="0"/>
    <x v="1"/>
    <x v="1"/>
    <x v="1"/>
    <x v="0"/>
    <n v="0"/>
    <x v="0"/>
    <x v="0"/>
    <m/>
    <n v="63.9"/>
  </r>
  <r>
    <s v="USR-101166"/>
    <d v="2025-03-26T00:00:00"/>
    <x v="1"/>
    <x v="3"/>
    <x v="2"/>
    <x v="1"/>
    <x v="0"/>
    <x v="1"/>
    <x v="0"/>
    <x v="0"/>
    <x v="0"/>
    <n v="0"/>
    <x v="1"/>
    <x v="0"/>
    <m/>
    <n v="82.6"/>
  </r>
  <r>
    <s v="USR-101167"/>
    <d v="2025-05-25T00:00:00"/>
    <x v="1"/>
    <x v="2"/>
    <x v="1"/>
    <x v="2"/>
    <x v="1"/>
    <x v="0"/>
    <x v="0"/>
    <x v="0"/>
    <x v="0"/>
    <n v="0"/>
    <x v="1"/>
    <x v="0"/>
    <m/>
    <n v="58.3"/>
  </r>
  <r>
    <s v="USR-101168"/>
    <d v="2025-02-25T00:00:00"/>
    <x v="1"/>
    <x v="1"/>
    <x v="1"/>
    <x v="3"/>
    <x v="2"/>
    <x v="1"/>
    <x v="1"/>
    <x v="1"/>
    <x v="1"/>
    <n v="1547.06"/>
    <x v="0"/>
    <x v="1"/>
    <n v="2"/>
    <n v="72.900000000000006"/>
  </r>
  <r>
    <s v="USR-101169"/>
    <d v="2025-03-23T00:00:00"/>
    <x v="1"/>
    <x v="3"/>
    <x v="1"/>
    <x v="4"/>
    <x v="1"/>
    <x v="1"/>
    <x v="1"/>
    <x v="1"/>
    <x v="0"/>
    <n v="0"/>
    <x v="2"/>
    <x v="0"/>
    <m/>
    <n v="53.5"/>
  </r>
  <r>
    <s v="USR-101170"/>
    <d v="2025-04-21T00:00:00"/>
    <x v="1"/>
    <x v="1"/>
    <x v="1"/>
    <x v="3"/>
    <x v="1"/>
    <x v="1"/>
    <x v="0"/>
    <x v="0"/>
    <x v="0"/>
    <n v="0"/>
    <x v="0"/>
    <x v="0"/>
    <m/>
    <n v="54.8"/>
  </r>
  <r>
    <s v="USR-101171"/>
    <d v="2025-05-21T00:00:00"/>
    <x v="1"/>
    <x v="0"/>
    <x v="1"/>
    <x v="1"/>
    <x v="2"/>
    <x v="1"/>
    <x v="0"/>
    <x v="0"/>
    <x v="0"/>
    <n v="0"/>
    <x v="0"/>
    <x v="0"/>
    <m/>
    <n v="69.5"/>
  </r>
  <r>
    <s v="USR-101172"/>
    <d v="2025-04-25T00:00:00"/>
    <x v="1"/>
    <x v="0"/>
    <x v="0"/>
    <x v="4"/>
    <x v="1"/>
    <x v="1"/>
    <x v="0"/>
    <x v="0"/>
    <x v="0"/>
    <n v="0"/>
    <x v="1"/>
    <x v="0"/>
    <m/>
    <n v="71.3"/>
  </r>
  <r>
    <s v="USR-101173"/>
    <d v="2025-05-23T00:00:00"/>
    <x v="1"/>
    <x v="1"/>
    <x v="1"/>
    <x v="3"/>
    <x v="0"/>
    <x v="1"/>
    <x v="0"/>
    <x v="0"/>
    <x v="0"/>
    <n v="0"/>
    <x v="1"/>
    <x v="0"/>
    <m/>
    <n v="57.5"/>
  </r>
  <r>
    <s v="USR-101174"/>
    <d v="2025-03-18T00:00:00"/>
    <x v="1"/>
    <x v="3"/>
    <x v="1"/>
    <x v="0"/>
    <x v="1"/>
    <x v="1"/>
    <x v="0"/>
    <x v="0"/>
    <x v="0"/>
    <n v="0"/>
    <x v="4"/>
    <x v="0"/>
    <m/>
    <n v="50.9"/>
  </r>
  <r>
    <s v="USR-101175"/>
    <d v="2025-01-03T00:00:00"/>
    <x v="1"/>
    <x v="3"/>
    <x v="2"/>
    <x v="1"/>
    <x v="1"/>
    <x v="1"/>
    <x v="1"/>
    <x v="1"/>
    <x v="0"/>
    <n v="0"/>
    <x v="0"/>
    <x v="0"/>
    <m/>
    <n v="69.3"/>
  </r>
  <r>
    <s v="USR-101176"/>
    <d v="2025-02-08T00:00:00"/>
    <x v="1"/>
    <x v="1"/>
    <x v="0"/>
    <x v="1"/>
    <x v="1"/>
    <x v="1"/>
    <x v="0"/>
    <x v="0"/>
    <x v="0"/>
    <n v="0"/>
    <x v="0"/>
    <x v="0"/>
    <m/>
    <n v="50.1"/>
  </r>
  <r>
    <s v="USR-101177"/>
    <d v="2025-02-04T00:00:00"/>
    <x v="1"/>
    <x v="2"/>
    <x v="3"/>
    <x v="2"/>
    <x v="0"/>
    <x v="0"/>
    <x v="0"/>
    <x v="0"/>
    <x v="0"/>
    <n v="0"/>
    <x v="0"/>
    <x v="0"/>
    <m/>
    <n v="69.7"/>
  </r>
  <r>
    <s v="USR-101178"/>
    <d v="2025-01-16T00:00:00"/>
    <x v="1"/>
    <x v="0"/>
    <x v="1"/>
    <x v="2"/>
    <x v="1"/>
    <x v="0"/>
    <x v="0"/>
    <x v="0"/>
    <x v="0"/>
    <n v="0"/>
    <x v="0"/>
    <x v="0"/>
    <m/>
    <n v="63.5"/>
  </r>
  <r>
    <s v="USR-101179"/>
    <d v="2025-04-04T00:00:00"/>
    <x v="1"/>
    <x v="1"/>
    <x v="0"/>
    <x v="2"/>
    <x v="1"/>
    <x v="1"/>
    <x v="1"/>
    <x v="1"/>
    <x v="1"/>
    <n v="265.58999999999997"/>
    <x v="1"/>
    <x v="0"/>
    <n v="8"/>
    <n v="80.400000000000006"/>
  </r>
  <r>
    <s v="USR-101180"/>
    <d v="2025-01-23T00:00:00"/>
    <x v="1"/>
    <x v="0"/>
    <x v="0"/>
    <x v="2"/>
    <x v="1"/>
    <x v="0"/>
    <x v="0"/>
    <x v="0"/>
    <x v="0"/>
    <n v="0"/>
    <x v="0"/>
    <x v="0"/>
    <m/>
    <n v="58.9"/>
  </r>
  <r>
    <s v="USR-101181"/>
    <d v="2025-03-22T00:00:00"/>
    <x v="1"/>
    <x v="3"/>
    <x v="0"/>
    <x v="2"/>
    <x v="1"/>
    <x v="1"/>
    <x v="0"/>
    <x v="0"/>
    <x v="0"/>
    <n v="0"/>
    <x v="0"/>
    <x v="0"/>
    <m/>
    <n v="56.8"/>
  </r>
  <r>
    <s v="USR-101182"/>
    <d v="2025-02-02T00:00:00"/>
    <x v="1"/>
    <x v="2"/>
    <x v="2"/>
    <x v="4"/>
    <x v="2"/>
    <x v="0"/>
    <x v="0"/>
    <x v="0"/>
    <x v="0"/>
    <n v="0"/>
    <x v="0"/>
    <x v="0"/>
    <m/>
    <n v="73.900000000000006"/>
  </r>
  <r>
    <s v="USR-101183"/>
    <d v="2025-01-31T00:00:00"/>
    <x v="1"/>
    <x v="0"/>
    <x v="0"/>
    <x v="2"/>
    <x v="1"/>
    <x v="0"/>
    <x v="0"/>
    <x v="0"/>
    <x v="0"/>
    <n v="0"/>
    <x v="0"/>
    <x v="0"/>
    <m/>
    <n v="76.3"/>
  </r>
  <r>
    <s v="USR-101184"/>
    <d v="2025-05-27T00:00:00"/>
    <x v="1"/>
    <x v="1"/>
    <x v="1"/>
    <x v="1"/>
    <x v="0"/>
    <x v="1"/>
    <x v="0"/>
    <x v="0"/>
    <x v="0"/>
    <n v="0"/>
    <x v="0"/>
    <x v="0"/>
    <m/>
    <n v="56.9"/>
  </r>
  <r>
    <s v="USR-101185"/>
    <d v="2025-05-07T00:00:00"/>
    <x v="1"/>
    <x v="0"/>
    <x v="1"/>
    <x v="1"/>
    <x v="2"/>
    <x v="1"/>
    <x v="0"/>
    <x v="0"/>
    <x v="0"/>
    <n v="0"/>
    <x v="2"/>
    <x v="0"/>
    <m/>
    <n v="49.4"/>
  </r>
  <r>
    <s v="USR-101186"/>
    <d v="2025-05-08T00:00:00"/>
    <x v="1"/>
    <x v="0"/>
    <x v="0"/>
    <x v="2"/>
    <x v="0"/>
    <x v="1"/>
    <x v="0"/>
    <x v="0"/>
    <x v="0"/>
    <n v="0"/>
    <x v="0"/>
    <x v="0"/>
    <m/>
    <n v="86.7"/>
  </r>
  <r>
    <s v="USR-101187"/>
    <d v="2025-01-15T00:00:00"/>
    <x v="1"/>
    <x v="1"/>
    <x v="0"/>
    <x v="0"/>
    <x v="1"/>
    <x v="1"/>
    <x v="0"/>
    <x v="0"/>
    <x v="0"/>
    <n v="0"/>
    <x v="3"/>
    <x v="0"/>
    <m/>
    <n v="69"/>
  </r>
  <r>
    <s v="USR-101188"/>
    <d v="2025-01-18T00:00:00"/>
    <x v="1"/>
    <x v="0"/>
    <x v="1"/>
    <x v="2"/>
    <x v="1"/>
    <x v="0"/>
    <x v="0"/>
    <x v="0"/>
    <x v="0"/>
    <n v="0"/>
    <x v="0"/>
    <x v="0"/>
    <m/>
    <n v="84.5"/>
  </r>
  <r>
    <s v="USR-101189"/>
    <d v="2025-04-16T00:00:00"/>
    <x v="1"/>
    <x v="2"/>
    <x v="3"/>
    <x v="3"/>
    <x v="1"/>
    <x v="1"/>
    <x v="0"/>
    <x v="0"/>
    <x v="0"/>
    <n v="0"/>
    <x v="0"/>
    <x v="0"/>
    <m/>
    <n v="66.3"/>
  </r>
  <r>
    <s v="USR-101190"/>
    <d v="2025-02-16T00:00:00"/>
    <x v="1"/>
    <x v="2"/>
    <x v="0"/>
    <x v="2"/>
    <x v="1"/>
    <x v="0"/>
    <x v="0"/>
    <x v="0"/>
    <x v="0"/>
    <n v="0"/>
    <x v="0"/>
    <x v="0"/>
    <m/>
    <n v="52.2"/>
  </r>
  <r>
    <s v="USR-101191"/>
    <d v="2025-04-17T00:00:00"/>
    <x v="1"/>
    <x v="3"/>
    <x v="0"/>
    <x v="3"/>
    <x v="2"/>
    <x v="1"/>
    <x v="1"/>
    <x v="1"/>
    <x v="0"/>
    <n v="0"/>
    <x v="0"/>
    <x v="0"/>
    <m/>
    <n v="81.2"/>
  </r>
  <r>
    <s v="USR-101192"/>
    <d v="2025-04-30T00:00:00"/>
    <x v="1"/>
    <x v="3"/>
    <x v="1"/>
    <x v="1"/>
    <x v="0"/>
    <x v="0"/>
    <x v="0"/>
    <x v="0"/>
    <x v="0"/>
    <n v="0"/>
    <x v="0"/>
    <x v="0"/>
    <m/>
    <n v="53.9"/>
  </r>
  <r>
    <s v="USR-101193"/>
    <d v="2025-01-29T00:00:00"/>
    <x v="1"/>
    <x v="1"/>
    <x v="1"/>
    <x v="4"/>
    <x v="2"/>
    <x v="0"/>
    <x v="0"/>
    <x v="0"/>
    <x v="0"/>
    <n v="0"/>
    <x v="0"/>
    <x v="0"/>
    <m/>
    <n v="39.1"/>
  </r>
  <r>
    <s v="USR-101194"/>
    <d v="2025-01-11T00:00:00"/>
    <x v="1"/>
    <x v="0"/>
    <x v="1"/>
    <x v="4"/>
    <x v="0"/>
    <x v="0"/>
    <x v="0"/>
    <x v="0"/>
    <x v="0"/>
    <n v="0"/>
    <x v="0"/>
    <x v="0"/>
    <m/>
    <n v="57.3"/>
  </r>
  <r>
    <s v="USR-101195"/>
    <d v="2025-04-08T00:00:00"/>
    <x v="1"/>
    <x v="2"/>
    <x v="0"/>
    <x v="2"/>
    <x v="2"/>
    <x v="1"/>
    <x v="0"/>
    <x v="0"/>
    <x v="0"/>
    <n v="0"/>
    <x v="1"/>
    <x v="0"/>
    <m/>
    <n v="65.900000000000006"/>
  </r>
  <r>
    <s v="USR-101196"/>
    <d v="2025-02-22T00:00:00"/>
    <x v="1"/>
    <x v="0"/>
    <x v="3"/>
    <x v="4"/>
    <x v="1"/>
    <x v="1"/>
    <x v="0"/>
    <x v="0"/>
    <x v="0"/>
    <n v="0"/>
    <x v="1"/>
    <x v="0"/>
    <m/>
    <n v="34.200000000000003"/>
  </r>
  <r>
    <s v="USR-101197"/>
    <d v="2025-03-23T00:00:00"/>
    <x v="1"/>
    <x v="3"/>
    <x v="1"/>
    <x v="1"/>
    <x v="1"/>
    <x v="0"/>
    <x v="0"/>
    <x v="0"/>
    <x v="0"/>
    <n v="0"/>
    <x v="0"/>
    <x v="0"/>
    <m/>
    <n v="47.2"/>
  </r>
  <r>
    <s v="USR-101198"/>
    <d v="2025-05-23T00:00:00"/>
    <x v="1"/>
    <x v="3"/>
    <x v="2"/>
    <x v="2"/>
    <x v="1"/>
    <x v="1"/>
    <x v="0"/>
    <x v="0"/>
    <x v="0"/>
    <n v="0"/>
    <x v="1"/>
    <x v="0"/>
    <m/>
    <n v="55"/>
  </r>
  <r>
    <s v="USR-101199"/>
    <d v="2025-04-27T00:00:00"/>
    <x v="1"/>
    <x v="1"/>
    <x v="1"/>
    <x v="3"/>
    <x v="0"/>
    <x v="1"/>
    <x v="1"/>
    <x v="1"/>
    <x v="0"/>
    <n v="0"/>
    <x v="0"/>
    <x v="0"/>
    <m/>
    <n v="76.400000000000006"/>
  </r>
  <r>
    <s v="USR-101200"/>
    <d v="2025-05-26T00:00:00"/>
    <x v="1"/>
    <x v="0"/>
    <x v="1"/>
    <x v="3"/>
    <x v="1"/>
    <x v="1"/>
    <x v="0"/>
    <x v="0"/>
    <x v="0"/>
    <n v="0"/>
    <x v="0"/>
    <x v="0"/>
    <m/>
    <n v="70.8"/>
  </r>
  <r>
    <s v="USR-101201"/>
    <d v="2025-03-06T00:00:00"/>
    <x v="1"/>
    <x v="2"/>
    <x v="1"/>
    <x v="2"/>
    <x v="0"/>
    <x v="1"/>
    <x v="1"/>
    <x v="0"/>
    <x v="0"/>
    <n v="0"/>
    <x v="1"/>
    <x v="0"/>
    <m/>
    <n v="58"/>
  </r>
  <r>
    <s v="USR-101202"/>
    <d v="2025-04-03T00:00:00"/>
    <x v="1"/>
    <x v="1"/>
    <x v="1"/>
    <x v="1"/>
    <x v="0"/>
    <x v="1"/>
    <x v="1"/>
    <x v="1"/>
    <x v="0"/>
    <n v="0"/>
    <x v="1"/>
    <x v="0"/>
    <m/>
    <n v="70.8"/>
  </r>
  <r>
    <s v="USR-101203"/>
    <d v="2025-02-01T00:00:00"/>
    <x v="1"/>
    <x v="2"/>
    <x v="0"/>
    <x v="2"/>
    <x v="1"/>
    <x v="1"/>
    <x v="0"/>
    <x v="0"/>
    <x v="0"/>
    <n v="0"/>
    <x v="3"/>
    <x v="0"/>
    <m/>
    <n v="60"/>
  </r>
  <r>
    <s v="USR-101204"/>
    <d v="2025-05-01T00:00:00"/>
    <x v="1"/>
    <x v="1"/>
    <x v="1"/>
    <x v="3"/>
    <x v="2"/>
    <x v="1"/>
    <x v="1"/>
    <x v="1"/>
    <x v="0"/>
    <n v="0"/>
    <x v="3"/>
    <x v="0"/>
    <m/>
    <n v="58.1"/>
  </r>
  <r>
    <s v="USR-101205"/>
    <d v="2025-04-13T00:00:00"/>
    <x v="1"/>
    <x v="0"/>
    <x v="1"/>
    <x v="4"/>
    <x v="2"/>
    <x v="0"/>
    <x v="0"/>
    <x v="0"/>
    <x v="0"/>
    <n v="0"/>
    <x v="0"/>
    <x v="0"/>
    <m/>
    <n v="59.7"/>
  </r>
  <r>
    <s v="USR-101206"/>
    <d v="2025-01-25T00:00:00"/>
    <x v="1"/>
    <x v="2"/>
    <x v="1"/>
    <x v="4"/>
    <x v="1"/>
    <x v="0"/>
    <x v="0"/>
    <x v="0"/>
    <x v="0"/>
    <n v="0"/>
    <x v="0"/>
    <x v="0"/>
    <m/>
    <n v="47.7"/>
  </r>
  <r>
    <s v="USR-101207"/>
    <d v="2025-03-17T00:00:00"/>
    <x v="1"/>
    <x v="0"/>
    <x v="1"/>
    <x v="1"/>
    <x v="1"/>
    <x v="0"/>
    <x v="0"/>
    <x v="0"/>
    <x v="0"/>
    <n v="0"/>
    <x v="0"/>
    <x v="0"/>
    <m/>
    <n v="59.1"/>
  </r>
  <r>
    <s v="USR-101208"/>
    <d v="2025-02-21T00:00:00"/>
    <x v="1"/>
    <x v="1"/>
    <x v="0"/>
    <x v="4"/>
    <x v="0"/>
    <x v="1"/>
    <x v="0"/>
    <x v="0"/>
    <x v="0"/>
    <n v="0"/>
    <x v="1"/>
    <x v="0"/>
    <m/>
    <n v="68.7"/>
  </r>
  <r>
    <s v="USR-101209"/>
    <d v="2025-04-08T00:00:00"/>
    <x v="1"/>
    <x v="2"/>
    <x v="2"/>
    <x v="1"/>
    <x v="0"/>
    <x v="0"/>
    <x v="0"/>
    <x v="0"/>
    <x v="0"/>
    <n v="0"/>
    <x v="0"/>
    <x v="0"/>
    <m/>
    <n v="34.700000000000003"/>
  </r>
  <r>
    <s v="USR-101059"/>
    <d v="2025-05-16T00:00:00"/>
    <x v="1"/>
    <x v="3"/>
    <x v="1"/>
    <x v="1"/>
    <x v="1"/>
    <x v="1"/>
    <x v="0"/>
    <x v="0"/>
    <x v="0"/>
    <n v="0"/>
    <x v="0"/>
    <x v="0"/>
    <m/>
    <n v="70.3"/>
  </r>
  <r>
    <s v="USR-101211"/>
    <d v="2025-05-29T00:00:00"/>
    <x v="1"/>
    <x v="3"/>
    <x v="1"/>
    <x v="1"/>
    <x v="1"/>
    <x v="1"/>
    <x v="1"/>
    <x v="0"/>
    <x v="0"/>
    <n v="0"/>
    <x v="0"/>
    <x v="0"/>
    <m/>
    <n v="56"/>
  </r>
  <r>
    <s v="USR-101212"/>
    <d v="2025-05-30T00:00:00"/>
    <x v="1"/>
    <x v="0"/>
    <x v="1"/>
    <x v="0"/>
    <x v="0"/>
    <x v="1"/>
    <x v="0"/>
    <x v="0"/>
    <x v="0"/>
    <n v="0"/>
    <x v="1"/>
    <x v="0"/>
    <m/>
    <n v="65.8"/>
  </r>
  <r>
    <s v="USR-101213"/>
    <d v="2025-01-24T00:00:00"/>
    <x v="1"/>
    <x v="0"/>
    <x v="0"/>
    <x v="1"/>
    <x v="2"/>
    <x v="0"/>
    <x v="0"/>
    <x v="0"/>
    <x v="0"/>
    <n v="0"/>
    <x v="0"/>
    <x v="0"/>
    <m/>
    <n v="54.7"/>
  </r>
  <r>
    <s v="USR-101214"/>
    <d v="2025-05-12T00:00:00"/>
    <x v="1"/>
    <x v="3"/>
    <x v="1"/>
    <x v="1"/>
    <x v="0"/>
    <x v="1"/>
    <x v="1"/>
    <x v="0"/>
    <x v="0"/>
    <n v="0"/>
    <x v="0"/>
    <x v="0"/>
    <m/>
    <n v="64.099999999999994"/>
  </r>
  <r>
    <s v="USR-101215"/>
    <d v="2025-03-28T00:00:00"/>
    <x v="1"/>
    <x v="3"/>
    <x v="1"/>
    <x v="1"/>
    <x v="0"/>
    <x v="1"/>
    <x v="1"/>
    <x v="1"/>
    <x v="0"/>
    <n v="0"/>
    <x v="0"/>
    <x v="0"/>
    <m/>
    <n v="71.599999999999994"/>
  </r>
  <r>
    <s v="USR-101216"/>
    <d v="2025-04-14T00:00:00"/>
    <x v="1"/>
    <x v="0"/>
    <x v="1"/>
    <x v="3"/>
    <x v="0"/>
    <x v="1"/>
    <x v="0"/>
    <x v="0"/>
    <x v="0"/>
    <n v="0"/>
    <x v="0"/>
    <x v="0"/>
    <m/>
    <n v="78.400000000000006"/>
  </r>
  <r>
    <s v="USR-101217"/>
    <d v="2025-01-28T00:00:00"/>
    <x v="1"/>
    <x v="2"/>
    <x v="2"/>
    <x v="3"/>
    <x v="0"/>
    <x v="0"/>
    <x v="0"/>
    <x v="0"/>
    <x v="0"/>
    <n v="0"/>
    <x v="0"/>
    <x v="0"/>
    <m/>
    <n v="49.3"/>
  </r>
  <r>
    <s v="USR-101218"/>
    <d v="2025-05-21T00:00:00"/>
    <x v="1"/>
    <x v="0"/>
    <x v="1"/>
    <x v="1"/>
    <x v="0"/>
    <x v="0"/>
    <x v="0"/>
    <x v="0"/>
    <x v="0"/>
    <n v="0"/>
    <x v="0"/>
    <x v="0"/>
    <m/>
    <n v="52.8"/>
  </r>
  <r>
    <s v="USR-101219"/>
    <d v="2025-05-11T00:00:00"/>
    <x v="1"/>
    <x v="1"/>
    <x v="0"/>
    <x v="1"/>
    <x v="1"/>
    <x v="0"/>
    <x v="0"/>
    <x v="0"/>
    <x v="0"/>
    <n v="0"/>
    <x v="0"/>
    <x v="0"/>
    <m/>
    <n v="58.5"/>
  </r>
  <r>
    <s v="USR-101220"/>
    <d v="2025-02-02T00:00:00"/>
    <x v="1"/>
    <x v="3"/>
    <x v="1"/>
    <x v="2"/>
    <x v="1"/>
    <x v="1"/>
    <x v="0"/>
    <x v="0"/>
    <x v="0"/>
    <n v="0"/>
    <x v="0"/>
    <x v="0"/>
    <m/>
    <n v="55.9"/>
  </r>
  <r>
    <s v="USR-101221"/>
    <d v="2025-02-26T00:00:00"/>
    <x v="1"/>
    <x v="0"/>
    <x v="1"/>
    <x v="4"/>
    <x v="1"/>
    <x v="1"/>
    <x v="1"/>
    <x v="1"/>
    <x v="1"/>
    <n v="351.43"/>
    <x v="1"/>
    <x v="0"/>
    <n v="6"/>
    <n v="74.900000000000006"/>
  </r>
  <r>
    <s v="USR-101222"/>
    <d v="2025-02-27T00:00:00"/>
    <x v="1"/>
    <x v="3"/>
    <x v="0"/>
    <x v="3"/>
    <x v="1"/>
    <x v="1"/>
    <x v="1"/>
    <x v="1"/>
    <x v="1"/>
    <n v="352.42"/>
    <x v="0"/>
    <x v="0"/>
    <n v="4"/>
    <n v="58.5"/>
  </r>
  <r>
    <s v="USR-101223"/>
    <d v="2025-03-09T00:00:00"/>
    <x v="1"/>
    <x v="1"/>
    <x v="1"/>
    <x v="1"/>
    <x v="1"/>
    <x v="0"/>
    <x v="0"/>
    <x v="0"/>
    <x v="0"/>
    <n v="0"/>
    <x v="0"/>
    <x v="0"/>
    <m/>
    <n v="63.5"/>
  </r>
  <r>
    <s v="USR-101224"/>
    <d v="2025-02-07T00:00:00"/>
    <x v="1"/>
    <x v="0"/>
    <x v="1"/>
    <x v="2"/>
    <x v="0"/>
    <x v="1"/>
    <x v="0"/>
    <x v="0"/>
    <x v="0"/>
    <n v="0"/>
    <x v="1"/>
    <x v="0"/>
    <m/>
    <n v="64.8"/>
  </r>
  <r>
    <s v="USR-101225"/>
    <d v="2025-01-31T00:00:00"/>
    <x v="1"/>
    <x v="1"/>
    <x v="1"/>
    <x v="4"/>
    <x v="1"/>
    <x v="0"/>
    <x v="0"/>
    <x v="0"/>
    <x v="0"/>
    <n v="0"/>
    <x v="0"/>
    <x v="0"/>
    <m/>
    <n v="63.3"/>
  </r>
  <r>
    <s v="USR-101226"/>
    <d v="2025-02-14T00:00:00"/>
    <x v="1"/>
    <x v="0"/>
    <x v="2"/>
    <x v="2"/>
    <x v="0"/>
    <x v="1"/>
    <x v="1"/>
    <x v="1"/>
    <x v="1"/>
    <n v="1074.1600000000001"/>
    <x v="0"/>
    <x v="0"/>
    <n v="8"/>
    <n v="83.7"/>
  </r>
  <r>
    <s v="USR-101227"/>
    <d v="2025-02-12T00:00:00"/>
    <x v="1"/>
    <x v="3"/>
    <x v="0"/>
    <x v="4"/>
    <x v="0"/>
    <x v="0"/>
    <x v="0"/>
    <x v="0"/>
    <x v="0"/>
    <n v="0"/>
    <x v="0"/>
    <x v="0"/>
    <m/>
    <n v="88.7"/>
  </r>
  <r>
    <s v="USR-101228"/>
    <d v="2025-03-23T00:00:00"/>
    <x v="1"/>
    <x v="2"/>
    <x v="3"/>
    <x v="2"/>
    <x v="1"/>
    <x v="1"/>
    <x v="0"/>
    <x v="0"/>
    <x v="0"/>
    <n v="0"/>
    <x v="1"/>
    <x v="0"/>
    <m/>
    <n v="61.5"/>
  </r>
  <r>
    <s v="USR-101229"/>
    <d v="2025-03-18T00:00:00"/>
    <x v="1"/>
    <x v="1"/>
    <x v="1"/>
    <x v="2"/>
    <x v="1"/>
    <x v="0"/>
    <x v="0"/>
    <x v="0"/>
    <x v="0"/>
    <n v="0"/>
    <x v="0"/>
    <x v="0"/>
    <m/>
    <n v="45.3"/>
  </r>
  <r>
    <s v="USR-101230"/>
    <d v="2025-05-17T00:00:00"/>
    <x v="1"/>
    <x v="0"/>
    <x v="1"/>
    <x v="4"/>
    <x v="1"/>
    <x v="1"/>
    <x v="0"/>
    <x v="0"/>
    <x v="0"/>
    <n v="0"/>
    <x v="0"/>
    <x v="0"/>
    <m/>
    <n v="37.299999999999997"/>
  </r>
  <r>
    <s v="USR-101231"/>
    <d v="2025-03-26T00:00:00"/>
    <x v="1"/>
    <x v="1"/>
    <x v="0"/>
    <x v="4"/>
    <x v="2"/>
    <x v="1"/>
    <x v="0"/>
    <x v="0"/>
    <x v="0"/>
    <n v="0"/>
    <x v="1"/>
    <x v="0"/>
    <m/>
    <n v="76.099999999999994"/>
  </r>
  <r>
    <s v="USR-101059"/>
    <d v="2025-05-16T00:00:00"/>
    <x v="1"/>
    <x v="3"/>
    <x v="1"/>
    <x v="1"/>
    <x v="1"/>
    <x v="1"/>
    <x v="0"/>
    <x v="0"/>
    <x v="0"/>
    <n v="0"/>
    <x v="0"/>
    <x v="0"/>
    <m/>
    <n v="70.3"/>
  </r>
  <r>
    <s v="USR-101233"/>
    <d v="2025-02-25T00:00:00"/>
    <x v="1"/>
    <x v="2"/>
    <x v="0"/>
    <x v="1"/>
    <x v="1"/>
    <x v="1"/>
    <x v="0"/>
    <x v="0"/>
    <x v="0"/>
    <n v="0"/>
    <x v="0"/>
    <x v="0"/>
    <m/>
    <n v="62.3"/>
  </r>
  <r>
    <s v="USR-101234"/>
    <d v="2025-03-01T00:00:00"/>
    <x v="1"/>
    <x v="2"/>
    <x v="0"/>
    <x v="4"/>
    <x v="1"/>
    <x v="0"/>
    <x v="0"/>
    <x v="0"/>
    <x v="0"/>
    <n v="0"/>
    <x v="0"/>
    <x v="0"/>
    <m/>
    <n v="62.7"/>
  </r>
  <r>
    <s v="USR-101235"/>
    <d v="2025-05-27T00:00:00"/>
    <x v="1"/>
    <x v="0"/>
    <x v="1"/>
    <x v="2"/>
    <x v="0"/>
    <x v="0"/>
    <x v="0"/>
    <x v="0"/>
    <x v="0"/>
    <n v="0"/>
    <x v="0"/>
    <x v="0"/>
    <m/>
    <n v="82.4"/>
  </r>
  <r>
    <s v="USR-101236"/>
    <d v="2025-02-05T00:00:00"/>
    <x v="1"/>
    <x v="1"/>
    <x v="1"/>
    <x v="5"/>
    <x v="2"/>
    <x v="1"/>
    <x v="0"/>
    <x v="0"/>
    <x v="0"/>
    <n v="0"/>
    <x v="0"/>
    <x v="0"/>
    <m/>
    <n v="78.900000000000006"/>
  </r>
  <r>
    <s v="USR-101237"/>
    <d v="2025-01-25T00:00:00"/>
    <x v="1"/>
    <x v="1"/>
    <x v="0"/>
    <x v="0"/>
    <x v="1"/>
    <x v="1"/>
    <x v="1"/>
    <x v="1"/>
    <x v="1"/>
    <n v="618.91"/>
    <x v="0"/>
    <x v="0"/>
    <n v="4"/>
    <n v="67.8"/>
  </r>
  <r>
    <s v="USR-101238"/>
    <d v="2025-04-10T00:00:00"/>
    <x v="1"/>
    <x v="2"/>
    <x v="1"/>
    <x v="1"/>
    <x v="2"/>
    <x v="1"/>
    <x v="0"/>
    <x v="0"/>
    <x v="0"/>
    <n v="0"/>
    <x v="0"/>
    <x v="0"/>
    <m/>
    <n v="68.8"/>
  </r>
  <r>
    <s v="USR-101239"/>
    <d v="2025-01-10T00:00:00"/>
    <x v="1"/>
    <x v="2"/>
    <x v="1"/>
    <x v="1"/>
    <x v="2"/>
    <x v="1"/>
    <x v="0"/>
    <x v="0"/>
    <x v="0"/>
    <n v="0"/>
    <x v="0"/>
    <x v="0"/>
    <m/>
    <n v="67.7"/>
  </r>
  <r>
    <s v="USR-101240"/>
    <d v="2025-02-23T00:00:00"/>
    <x v="1"/>
    <x v="2"/>
    <x v="1"/>
    <x v="5"/>
    <x v="1"/>
    <x v="0"/>
    <x v="0"/>
    <x v="0"/>
    <x v="0"/>
    <n v="0"/>
    <x v="0"/>
    <x v="0"/>
    <m/>
    <n v="88"/>
  </r>
  <r>
    <s v="USR-101241"/>
    <d v="2025-05-23T00:00:00"/>
    <x v="1"/>
    <x v="1"/>
    <x v="0"/>
    <x v="1"/>
    <x v="0"/>
    <x v="1"/>
    <x v="1"/>
    <x v="0"/>
    <x v="0"/>
    <n v="0"/>
    <x v="0"/>
    <x v="0"/>
    <m/>
    <n v="80.099999999999994"/>
  </r>
  <r>
    <s v="USR-101242"/>
    <d v="2025-03-08T00:00:00"/>
    <x v="1"/>
    <x v="0"/>
    <x v="2"/>
    <x v="0"/>
    <x v="0"/>
    <x v="0"/>
    <x v="0"/>
    <x v="0"/>
    <x v="0"/>
    <n v="0"/>
    <x v="1"/>
    <x v="0"/>
    <m/>
    <n v="48.2"/>
  </r>
  <r>
    <s v="USR-101243"/>
    <d v="2025-05-21T00:00:00"/>
    <x v="1"/>
    <x v="2"/>
    <x v="1"/>
    <x v="1"/>
    <x v="0"/>
    <x v="1"/>
    <x v="0"/>
    <x v="0"/>
    <x v="0"/>
    <n v="0"/>
    <x v="0"/>
    <x v="0"/>
    <m/>
    <n v="52.7"/>
  </r>
  <r>
    <s v="USR-101244"/>
    <d v="2025-04-22T00:00:00"/>
    <x v="1"/>
    <x v="0"/>
    <x v="1"/>
    <x v="0"/>
    <x v="0"/>
    <x v="1"/>
    <x v="1"/>
    <x v="0"/>
    <x v="0"/>
    <n v="0"/>
    <x v="0"/>
    <x v="0"/>
    <m/>
    <n v="59.9"/>
  </r>
  <r>
    <s v="USR-101245"/>
    <d v="2025-04-16T00:00:00"/>
    <x v="1"/>
    <x v="0"/>
    <x v="1"/>
    <x v="0"/>
    <x v="2"/>
    <x v="1"/>
    <x v="0"/>
    <x v="0"/>
    <x v="0"/>
    <n v="0"/>
    <x v="0"/>
    <x v="0"/>
    <m/>
    <n v="49.5"/>
  </r>
  <r>
    <s v="USR-101246"/>
    <d v="2025-05-08T00:00:00"/>
    <x v="1"/>
    <x v="0"/>
    <x v="2"/>
    <x v="1"/>
    <x v="1"/>
    <x v="1"/>
    <x v="0"/>
    <x v="0"/>
    <x v="0"/>
    <n v="0"/>
    <x v="0"/>
    <x v="0"/>
    <m/>
    <n v="41.5"/>
  </r>
  <r>
    <s v="USR-101247"/>
    <d v="2025-05-22T00:00:00"/>
    <x v="1"/>
    <x v="0"/>
    <x v="1"/>
    <x v="2"/>
    <x v="0"/>
    <x v="1"/>
    <x v="0"/>
    <x v="0"/>
    <x v="0"/>
    <n v="0"/>
    <x v="0"/>
    <x v="0"/>
    <m/>
    <n v="71.2"/>
  </r>
  <r>
    <s v="USR-101248"/>
    <d v="2025-03-21T00:00:00"/>
    <x v="1"/>
    <x v="0"/>
    <x v="1"/>
    <x v="3"/>
    <x v="0"/>
    <x v="1"/>
    <x v="1"/>
    <x v="1"/>
    <x v="0"/>
    <n v="0"/>
    <x v="0"/>
    <x v="0"/>
    <m/>
    <n v="65.8"/>
  </r>
  <r>
    <s v="USR-101249"/>
    <d v="2025-03-22T00:00:00"/>
    <x v="1"/>
    <x v="2"/>
    <x v="1"/>
    <x v="1"/>
    <x v="0"/>
    <x v="1"/>
    <x v="0"/>
    <x v="0"/>
    <x v="0"/>
    <n v="0"/>
    <x v="1"/>
    <x v="0"/>
    <m/>
    <n v="55.1"/>
  </r>
  <r>
    <s v="USR-101250"/>
    <d v="2025-01-10T00:00:00"/>
    <x v="1"/>
    <x v="1"/>
    <x v="0"/>
    <x v="4"/>
    <x v="1"/>
    <x v="1"/>
    <x v="0"/>
    <x v="0"/>
    <x v="0"/>
    <n v="0"/>
    <x v="0"/>
    <x v="0"/>
    <m/>
    <n v="54.6"/>
  </r>
  <r>
    <s v="USR-101251"/>
    <d v="2025-02-01T00:00:00"/>
    <x v="1"/>
    <x v="2"/>
    <x v="1"/>
    <x v="1"/>
    <x v="0"/>
    <x v="1"/>
    <x v="1"/>
    <x v="1"/>
    <x v="1"/>
    <n v="923.67"/>
    <x v="0"/>
    <x v="0"/>
    <n v="4"/>
    <n v="81.900000000000006"/>
  </r>
  <r>
    <s v="USR-101252"/>
    <d v="2025-03-31T00:00:00"/>
    <x v="1"/>
    <x v="3"/>
    <x v="1"/>
    <x v="2"/>
    <x v="0"/>
    <x v="1"/>
    <x v="1"/>
    <x v="0"/>
    <x v="0"/>
    <n v="0"/>
    <x v="3"/>
    <x v="0"/>
    <m/>
    <n v="63.2"/>
  </r>
  <r>
    <s v="USR-101253"/>
    <d v="2025-04-25T00:00:00"/>
    <x v="1"/>
    <x v="0"/>
    <x v="1"/>
    <x v="2"/>
    <x v="1"/>
    <x v="1"/>
    <x v="0"/>
    <x v="0"/>
    <x v="0"/>
    <n v="0"/>
    <x v="0"/>
    <x v="0"/>
    <m/>
    <n v="55.4"/>
  </r>
  <r>
    <s v="USR-101254"/>
    <d v="2025-05-02T00:00:00"/>
    <x v="1"/>
    <x v="1"/>
    <x v="1"/>
    <x v="4"/>
    <x v="0"/>
    <x v="0"/>
    <x v="0"/>
    <x v="0"/>
    <x v="0"/>
    <n v="0"/>
    <x v="0"/>
    <x v="0"/>
    <m/>
    <n v="87.5"/>
  </r>
  <r>
    <s v="USR-101255"/>
    <d v="2025-03-08T00:00:00"/>
    <x v="1"/>
    <x v="3"/>
    <x v="0"/>
    <x v="4"/>
    <x v="0"/>
    <x v="1"/>
    <x v="0"/>
    <x v="0"/>
    <x v="0"/>
    <n v="0"/>
    <x v="0"/>
    <x v="0"/>
    <m/>
    <n v="48.5"/>
  </r>
  <r>
    <s v="USR-101256"/>
    <d v="2025-01-27T00:00:00"/>
    <x v="1"/>
    <x v="2"/>
    <x v="0"/>
    <x v="5"/>
    <x v="1"/>
    <x v="1"/>
    <x v="1"/>
    <x v="1"/>
    <x v="1"/>
    <n v="420.27"/>
    <x v="0"/>
    <x v="0"/>
    <n v="6"/>
    <n v="58.4"/>
  </r>
  <r>
    <s v="USR-101257"/>
    <d v="2025-04-27T00:00:00"/>
    <x v="1"/>
    <x v="1"/>
    <x v="1"/>
    <x v="2"/>
    <x v="1"/>
    <x v="0"/>
    <x v="0"/>
    <x v="0"/>
    <x v="0"/>
    <n v="0"/>
    <x v="0"/>
    <x v="0"/>
    <m/>
    <n v="59.5"/>
  </r>
  <r>
    <s v="USR-101258"/>
    <d v="2025-01-16T00:00:00"/>
    <x v="1"/>
    <x v="1"/>
    <x v="0"/>
    <x v="2"/>
    <x v="0"/>
    <x v="1"/>
    <x v="0"/>
    <x v="0"/>
    <x v="0"/>
    <n v="0"/>
    <x v="0"/>
    <x v="0"/>
    <m/>
    <n v="93.2"/>
  </r>
  <r>
    <s v="USR-101259"/>
    <d v="2025-01-18T00:00:00"/>
    <x v="1"/>
    <x v="1"/>
    <x v="0"/>
    <x v="2"/>
    <x v="0"/>
    <x v="1"/>
    <x v="0"/>
    <x v="0"/>
    <x v="0"/>
    <n v="0"/>
    <x v="0"/>
    <x v="0"/>
    <m/>
    <n v="59"/>
  </r>
  <r>
    <s v="USR-101260"/>
    <d v="2025-03-21T00:00:00"/>
    <x v="1"/>
    <x v="0"/>
    <x v="1"/>
    <x v="1"/>
    <x v="1"/>
    <x v="1"/>
    <x v="0"/>
    <x v="0"/>
    <x v="0"/>
    <n v="0"/>
    <x v="0"/>
    <x v="0"/>
    <m/>
    <n v="37"/>
  </r>
  <r>
    <s v="USR-101261"/>
    <d v="2025-04-02T00:00:00"/>
    <x v="1"/>
    <x v="0"/>
    <x v="0"/>
    <x v="2"/>
    <x v="1"/>
    <x v="1"/>
    <x v="0"/>
    <x v="0"/>
    <x v="0"/>
    <n v="0"/>
    <x v="0"/>
    <x v="0"/>
    <m/>
    <n v="47.5"/>
  </r>
  <r>
    <s v="USR-101262"/>
    <d v="2025-02-16T00:00:00"/>
    <x v="1"/>
    <x v="1"/>
    <x v="0"/>
    <x v="1"/>
    <x v="1"/>
    <x v="1"/>
    <x v="1"/>
    <x v="1"/>
    <x v="0"/>
    <n v="0"/>
    <x v="0"/>
    <x v="0"/>
    <m/>
    <n v="78.7"/>
  </r>
  <r>
    <s v="USR-101263"/>
    <d v="2025-02-18T00:00:00"/>
    <x v="1"/>
    <x v="0"/>
    <x v="1"/>
    <x v="4"/>
    <x v="1"/>
    <x v="1"/>
    <x v="0"/>
    <x v="0"/>
    <x v="0"/>
    <n v="0"/>
    <x v="0"/>
    <x v="0"/>
    <m/>
    <n v="49.6"/>
  </r>
  <r>
    <s v="USR-101264"/>
    <d v="2025-01-09T00:00:00"/>
    <x v="1"/>
    <x v="2"/>
    <x v="1"/>
    <x v="1"/>
    <x v="1"/>
    <x v="1"/>
    <x v="0"/>
    <x v="0"/>
    <x v="0"/>
    <n v="0"/>
    <x v="0"/>
    <x v="0"/>
    <m/>
    <n v="58"/>
  </r>
  <r>
    <s v="USR-101265"/>
    <d v="2025-02-18T00:00:00"/>
    <x v="1"/>
    <x v="0"/>
    <x v="0"/>
    <x v="2"/>
    <x v="1"/>
    <x v="1"/>
    <x v="0"/>
    <x v="0"/>
    <x v="0"/>
    <n v="0"/>
    <x v="1"/>
    <x v="0"/>
    <m/>
    <n v="54.4"/>
  </r>
  <r>
    <s v="USR-101266"/>
    <d v="2025-01-10T00:00:00"/>
    <x v="1"/>
    <x v="2"/>
    <x v="1"/>
    <x v="3"/>
    <x v="1"/>
    <x v="0"/>
    <x v="0"/>
    <x v="0"/>
    <x v="0"/>
    <n v="0"/>
    <x v="0"/>
    <x v="0"/>
    <m/>
    <n v="33.700000000000003"/>
  </r>
  <r>
    <s v="USR-101267"/>
    <d v="2025-03-08T00:00:00"/>
    <x v="1"/>
    <x v="1"/>
    <x v="1"/>
    <x v="0"/>
    <x v="1"/>
    <x v="1"/>
    <x v="0"/>
    <x v="0"/>
    <x v="0"/>
    <n v="0"/>
    <x v="0"/>
    <x v="0"/>
    <m/>
    <n v="72.7"/>
  </r>
  <r>
    <s v="USR-101268"/>
    <d v="2025-04-16T00:00:00"/>
    <x v="1"/>
    <x v="2"/>
    <x v="0"/>
    <x v="2"/>
    <x v="0"/>
    <x v="0"/>
    <x v="0"/>
    <x v="0"/>
    <x v="0"/>
    <n v="0"/>
    <x v="0"/>
    <x v="0"/>
    <m/>
    <n v="64.7"/>
  </r>
  <r>
    <s v="USR-101269"/>
    <d v="2025-02-19T00:00:00"/>
    <x v="1"/>
    <x v="1"/>
    <x v="0"/>
    <x v="2"/>
    <x v="2"/>
    <x v="0"/>
    <x v="0"/>
    <x v="0"/>
    <x v="0"/>
    <n v="0"/>
    <x v="1"/>
    <x v="0"/>
    <m/>
    <n v="48.6"/>
  </r>
  <r>
    <s v="USR-101270"/>
    <d v="2025-03-16T00:00:00"/>
    <x v="1"/>
    <x v="2"/>
    <x v="0"/>
    <x v="4"/>
    <x v="1"/>
    <x v="1"/>
    <x v="1"/>
    <x v="0"/>
    <x v="0"/>
    <n v="0"/>
    <x v="0"/>
    <x v="0"/>
    <m/>
    <n v="66.2"/>
  </r>
  <r>
    <s v="USR-101271"/>
    <d v="2025-02-03T00:00:00"/>
    <x v="1"/>
    <x v="1"/>
    <x v="3"/>
    <x v="3"/>
    <x v="0"/>
    <x v="1"/>
    <x v="0"/>
    <x v="0"/>
    <x v="0"/>
    <n v="0"/>
    <x v="1"/>
    <x v="0"/>
    <m/>
    <n v="60.7"/>
  </r>
  <r>
    <s v="USR-101272"/>
    <d v="2025-03-12T00:00:00"/>
    <x v="1"/>
    <x v="1"/>
    <x v="1"/>
    <x v="2"/>
    <x v="0"/>
    <x v="1"/>
    <x v="0"/>
    <x v="0"/>
    <x v="0"/>
    <n v="0"/>
    <x v="0"/>
    <x v="0"/>
    <m/>
    <n v="36.5"/>
  </r>
  <r>
    <s v="USR-101273"/>
    <d v="2025-05-09T00:00:00"/>
    <x v="1"/>
    <x v="1"/>
    <x v="1"/>
    <x v="4"/>
    <x v="1"/>
    <x v="1"/>
    <x v="1"/>
    <x v="1"/>
    <x v="0"/>
    <n v="0"/>
    <x v="3"/>
    <x v="0"/>
    <m/>
    <n v="69.7"/>
  </r>
  <r>
    <s v="USR-101274"/>
    <d v="2025-01-19T00:00:00"/>
    <x v="1"/>
    <x v="3"/>
    <x v="0"/>
    <x v="4"/>
    <x v="2"/>
    <x v="1"/>
    <x v="0"/>
    <x v="0"/>
    <x v="0"/>
    <n v="0"/>
    <x v="0"/>
    <x v="0"/>
    <m/>
    <n v="81.8"/>
  </r>
  <r>
    <s v="USR-101275"/>
    <d v="2025-01-24T00:00:00"/>
    <x v="1"/>
    <x v="1"/>
    <x v="1"/>
    <x v="3"/>
    <x v="1"/>
    <x v="1"/>
    <x v="1"/>
    <x v="1"/>
    <x v="0"/>
    <n v="0"/>
    <x v="1"/>
    <x v="0"/>
    <m/>
    <n v="78.3"/>
  </r>
  <r>
    <s v="USR-101276"/>
    <d v="2025-03-03T00:00:00"/>
    <x v="1"/>
    <x v="2"/>
    <x v="1"/>
    <x v="3"/>
    <x v="1"/>
    <x v="1"/>
    <x v="1"/>
    <x v="0"/>
    <x v="0"/>
    <n v="0"/>
    <x v="0"/>
    <x v="0"/>
    <m/>
    <n v="79.400000000000006"/>
  </r>
  <r>
    <s v="USR-101277"/>
    <d v="2025-05-27T00:00:00"/>
    <x v="1"/>
    <x v="0"/>
    <x v="0"/>
    <x v="3"/>
    <x v="1"/>
    <x v="1"/>
    <x v="1"/>
    <x v="1"/>
    <x v="0"/>
    <n v="0"/>
    <x v="0"/>
    <x v="0"/>
    <m/>
    <n v="54.9"/>
  </r>
  <r>
    <s v="USR-101278"/>
    <d v="2025-04-23T00:00:00"/>
    <x v="1"/>
    <x v="1"/>
    <x v="0"/>
    <x v="1"/>
    <x v="0"/>
    <x v="1"/>
    <x v="0"/>
    <x v="0"/>
    <x v="0"/>
    <n v="0"/>
    <x v="0"/>
    <x v="0"/>
    <m/>
    <n v="54.9"/>
  </r>
  <r>
    <s v="USR-101279"/>
    <d v="2025-02-10T00:00:00"/>
    <x v="1"/>
    <x v="2"/>
    <x v="0"/>
    <x v="4"/>
    <x v="1"/>
    <x v="0"/>
    <x v="0"/>
    <x v="0"/>
    <x v="0"/>
    <n v="0"/>
    <x v="0"/>
    <x v="0"/>
    <m/>
    <n v="28.7"/>
  </r>
  <r>
    <s v="USR-101280"/>
    <d v="2025-02-11T00:00:00"/>
    <x v="1"/>
    <x v="0"/>
    <x v="1"/>
    <x v="1"/>
    <x v="1"/>
    <x v="0"/>
    <x v="0"/>
    <x v="0"/>
    <x v="0"/>
    <n v="0"/>
    <x v="0"/>
    <x v="0"/>
    <m/>
    <n v="68.8"/>
  </r>
  <r>
    <s v="USR-101281"/>
    <d v="2025-01-21T00:00:00"/>
    <x v="1"/>
    <x v="2"/>
    <x v="0"/>
    <x v="2"/>
    <x v="1"/>
    <x v="1"/>
    <x v="1"/>
    <x v="1"/>
    <x v="0"/>
    <n v="0"/>
    <x v="0"/>
    <x v="0"/>
    <m/>
    <n v="43.5"/>
  </r>
  <r>
    <s v="USR-101282"/>
    <d v="2025-02-02T00:00:00"/>
    <x v="1"/>
    <x v="1"/>
    <x v="0"/>
    <x v="4"/>
    <x v="1"/>
    <x v="1"/>
    <x v="1"/>
    <x v="0"/>
    <x v="0"/>
    <n v="0"/>
    <x v="0"/>
    <x v="0"/>
    <m/>
    <n v="62.6"/>
  </r>
  <r>
    <s v="USR-101283"/>
    <d v="2025-02-02T00:00:00"/>
    <x v="1"/>
    <x v="1"/>
    <x v="1"/>
    <x v="1"/>
    <x v="1"/>
    <x v="0"/>
    <x v="0"/>
    <x v="0"/>
    <x v="0"/>
    <n v="0"/>
    <x v="1"/>
    <x v="0"/>
    <m/>
    <n v="54.1"/>
  </r>
  <r>
    <s v="USR-101284"/>
    <d v="2025-02-26T00:00:00"/>
    <x v="1"/>
    <x v="1"/>
    <x v="2"/>
    <x v="4"/>
    <x v="1"/>
    <x v="1"/>
    <x v="1"/>
    <x v="1"/>
    <x v="0"/>
    <n v="0"/>
    <x v="0"/>
    <x v="0"/>
    <m/>
    <n v="80.099999999999994"/>
  </r>
  <r>
    <s v="USR-101285"/>
    <d v="2025-04-22T00:00:00"/>
    <x v="1"/>
    <x v="0"/>
    <x v="1"/>
    <x v="4"/>
    <x v="2"/>
    <x v="1"/>
    <x v="0"/>
    <x v="0"/>
    <x v="0"/>
    <n v="0"/>
    <x v="0"/>
    <x v="0"/>
    <m/>
    <n v="69.5"/>
  </r>
  <r>
    <s v="USR-101286"/>
    <d v="2025-03-11T00:00:00"/>
    <x v="1"/>
    <x v="0"/>
    <x v="0"/>
    <x v="1"/>
    <x v="0"/>
    <x v="0"/>
    <x v="0"/>
    <x v="0"/>
    <x v="0"/>
    <n v="0"/>
    <x v="2"/>
    <x v="0"/>
    <m/>
    <n v="46.6"/>
  </r>
  <r>
    <s v="USR-101287"/>
    <d v="2025-05-08T00:00:00"/>
    <x v="1"/>
    <x v="3"/>
    <x v="1"/>
    <x v="1"/>
    <x v="2"/>
    <x v="1"/>
    <x v="0"/>
    <x v="0"/>
    <x v="0"/>
    <n v="0"/>
    <x v="1"/>
    <x v="0"/>
    <m/>
    <n v="54.9"/>
  </r>
  <r>
    <s v="USR-101288"/>
    <d v="2025-03-10T00:00:00"/>
    <x v="1"/>
    <x v="2"/>
    <x v="0"/>
    <x v="1"/>
    <x v="1"/>
    <x v="0"/>
    <x v="0"/>
    <x v="0"/>
    <x v="0"/>
    <n v="0"/>
    <x v="0"/>
    <x v="0"/>
    <m/>
    <n v="100"/>
  </r>
  <r>
    <s v="USR-101289"/>
    <d v="2025-04-16T00:00:00"/>
    <x v="1"/>
    <x v="2"/>
    <x v="0"/>
    <x v="2"/>
    <x v="1"/>
    <x v="1"/>
    <x v="1"/>
    <x v="1"/>
    <x v="0"/>
    <n v="0"/>
    <x v="1"/>
    <x v="0"/>
    <m/>
    <n v="80.5"/>
  </r>
  <r>
    <s v="USR-101290"/>
    <d v="2025-03-01T00:00:00"/>
    <x v="1"/>
    <x v="1"/>
    <x v="2"/>
    <x v="1"/>
    <x v="0"/>
    <x v="1"/>
    <x v="0"/>
    <x v="0"/>
    <x v="0"/>
    <n v="0"/>
    <x v="0"/>
    <x v="0"/>
    <m/>
    <n v="51.2"/>
  </r>
  <r>
    <s v="USR-101291"/>
    <d v="2025-01-18T00:00:00"/>
    <x v="1"/>
    <x v="3"/>
    <x v="0"/>
    <x v="1"/>
    <x v="2"/>
    <x v="1"/>
    <x v="0"/>
    <x v="0"/>
    <x v="0"/>
    <n v="0"/>
    <x v="0"/>
    <x v="0"/>
    <m/>
    <n v="42.5"/>
  </r>
  <r>
    <s v="USR-101292"/>
    <d v="2025-03-30T00:00:00"/>
    <x v="1"/>
    <x v="0"/>
    <x v="1"/>
    <x v="2"/>
    <x v="1"/>
    <x v="0"/>
    <x v="0"/>
    <x v="0"/>
    <x v="0"/>
    <n v="0"/>
    <x v="0"/>
    <x v="0"/>
    <m/>
    <n v="72.5"/>
  </r>
  <r>
    <s v="USR-101293"/>
    <d v="2025-05-26T00:00:00"/>
    <x v="1"/>
    <x v="1"/>
    <x v="1"/>
    <x v="4"/>
    <x v="2"/>
    <x v="0"/>
    <x v="0"/>
    <x v="0"/>
    <x v="0"/>
    <n v="0"/>
    <x v="0"/>
    <x v="0"/>
    <m/>
    <n v="74.400000000000006"/>
  </r>
  <r>
    <s v="USR-101294"/>
    <d v="2025-03-19T00:00:00"/>
    <x v="1"/>
    <x v="2"/>
    <x v="0"/>
    <x v="4"/>
    <x v="1"/>
    <x v="0"/>
    <x v="0"/>
    <x v="0"/>
    <x v="0"/>
    <n v="0"/>
    <x v="0"/>
    <x v="0"/>
    <m/>
    <n v="78.400000000000006"/>
  </r>
  <r>
    <s v="USR-101295"/>
    <d v="2025-03-28T00:00:00"/>
    <x v="1"/>
    <x v="0"/>
    <x v="0"/>
    <x v="3"/>
    <x v="1"/>
    <x v="1"/>
    <x v="0"/>
    <x v="0"/>
    <x v="0"/>
    <n v="0"/>
    <x v="0"/>
    <x v="0"/>
    <m/>
    <n v="71.5"/>
  </r>
  <r>
    <s v="USR-101296"/>
    <d v="2025-05-28T00:00:00"/>
    <x v="1"/>
    <x v="3"/>
    <x v="0"/>
    <x v="4"/>
    <x v="1"/>
    <x v="1"/>
    <x v="0"/>
    <x v="0"/>
    <x v="0"/>
    <n v="0"/>
    <x v="0"/>
    <x v="0"/>
    <m/>
    <n v="66.7"/>
  </r>
  <r>
    <s v="USR-101297"/>
    <d v="2025-05-31T00:00:00"/>
    <x v="1"/>
    <x v="3"/>
    <x v="0"/>
    <x v="3"/>
    <x v="2"/>
    <x v="1"/>
    <x v="1"/>
    <x v="1"/>
    <x v="1"/>
    <n v="1496.09"/>
    <x v="0"/>
    <x v="0"/>
    <n v="7"/>
    <n v="60.4"/>
  </r>
  <r>
    <s v="USR-101298"/>
    <d v="2025-05-10T00:00:00"/>
    <x v="1"/>
    <x v="0"/>
    <x v="1"/>
    <x v="3"/>
    <x v="1"/>
    <x v="0"/>
    <x v="0"/>
    <x v="0"/>
    <x v="0"/>
    <n v="0"/>
    <x v="1"/>
    <x v="0"/>
    <m/>
    <n v="72.900000000000006"/>
  </r>
  <r>
    <s v="USR-101299"/>
    <d v="2025-05-17T00:00:00"/>
    <x v="1"/>
    <x v="1"/>
    <x v="1"/>
    <x v="1"/>
    <x v="1"/>
    <x v="0"/>
    <x v="0"/>
    <x v="0"/>
    <x v="0"/>
    <n v="0"/>
    <x v="3"/>
    <x v="0"/>
    <m/>
    <m/>
  </r>
  <r>
    <s v="USR-101300"/>
    <d v="2025-01-18T00:00:00"/>
    <x v="1"/>
    <x v="3"/>
    <x v="1"/>
    <x v="1"/>
    <x v="2"/>
    <x v="1"/>
    <x v="0"/>
    <x v="0"/>
    <x v="0"/>
    <n v="0"/>
    <x v="0"/>
    <x v="0"/>
    <m/>
    <n v="55.2"/>
  </r>
  <r>
    <s v="USR-101301"/>
    <d v="2025-05-04T00:00:00"/>
    <x v="1"/>
    <x v="1"/>
    <x v="1"/>
    <x v="4"/>
    <x v="1"/>
    <x v="1"/>
    <x v="0"/>
    <x v="0"/>
    <x v="0"/>
    <n v="0"/>
    <x v="0"/>
    <x v="0"/>
    <m/>
    <n v="67.8"/>
  </r>
  <r>
    <s v="USR-101302"/>
    <d v="2025-03-25T00:00:00"/>
    <x v="1"/>
    <x v="0"/>
    <x v="1"/>
    <x v="1"/>
    <x v="1"/>
    <x v="1"/>
    <x v="0"/>
    <x v="0"/>
    <x v="0"/>
    <n v="0"/>
    <x v="2"/>
    <x v="0"/>
    <m/>
    <n v="70"/>
  </r>
  <r>
    <s v="USR-101303"/>
    <d v="2025-02-27T00:00:00"/>
    <x v="1"/>
    <x v="0"/>
    <x v="1"/>
    <x v="4"/>
    <x v="0"/>
    <x v="1"/>
    <x v="1"/>
    <x v="1"/>
    <x v="0"/>
    <n v="0"/>
    <x v="0"/>
    <x v="0"/>
    <m/>
    <n v="51.1"/>
  </r>
  <r>
    <s v="USR-101304"/>
    <d v="2025-01-14T00:00:00"/>
    <x v="1"/>
    <x v="1"/>
    <x v="1"/>
    <x v="2"/>
    <x v="0"/>
    <x v="1"/>
    <x v="1"/>
    <x v="1"/>
    <x v="0"/>
    <n v="0"/>
    <x v="0"/>
    <x v="0"/>
    <m/>
    <n v="57"/>
  </r>
  <r>
    <s v="USR-101305"/>
    <d v="2025-04-11T00:00:00"/>
    <x v="1"/>
    <x v="2"/>
    <x v="1"/>
    <x v="4"/>
    <x v="1"/>
    <x v="0"/>
    <x v="0"/>
    <x v="0"/>
    <x v="0"/>
    <n v="0"/>
    <x v="1"/>
    <x v="0"/>
    <m/>
    <n v="47.1"/>
  </r>
  <r>
    <s v="USR-101306"/>
    <d v="2025-03-26T00:00:00"/>
    <x v="1"/>
    <x v="2"/>
    <x v="0"/>
    <x v="4"/>
    <x v="0"/>
    <x v="0"/>
    <x v="0"/>
    <x v="0"/>
    <x v="0"/>
    <n v="0"/>
    <x v="0"/>
    <x v="0"/>
    <m/>
    <n v="30.7"/>
  </r>
  <r>
    <s v="USR-101307"/>
    <d v="2025-02-12T00:00:00"/>
    <x v="1"/>
    <x v="1"/>
    <x v="0"/>
    <x v="4"/>
    <x v="1"/>
    <x v="1"/>
    <x v="0"/>
    <x v="0"/>
    <x v="0"/>
    <n v="0"/>
    <x v="0"/>
    <x v="0"/>
    <m/>
    <n v="57.3"/>
  </r>
  <r>
    <s v="USR-101308"/>
    <d v="2025-02-18T00:00:00"/>
    <x v="1"/>
    <x v="1"/>
    <x v="2"/>
    <x v="2"/>
    <x v="0"/>
    <x v="1"/>
    <x v="0"/>
    <x v="0"/>
    <x v="0"/>
    <n v="0"/>
    <x v="0"/>
    <x v="0"/>
    <m/>
    <n v="70"/>
  </r>
  <r>
    <s v="USR-101309"/>
    <d v="2025-05-25T00:00:00"/>
    <x v="1"/>
    <x v="2"/>
    <x v="0"/>
    <x v="4"/>
    <x v="1"/>
    <x v="1"/>
    <x v="1"/>
    <x v="1"/>
    <x v="0"/>
    <n v="0"/>
    <x v="0"/>
    <x v="0"/>
    <m/>
    <n v="59.7"/>
  </r>
  <r>
    <s v="USR-101310"/>
    <d v="2025-05-23T00:00:00"/>
    <x v="1"/>
    <x v="2"/>
    <x v="0"/>
    <x v="2"/>
    <x v="0"/>
    <x v="1"/>
    <x v="0"/>
    <x v="0"/>
    <x v="0"/>
    <n v="0"/>
    <x v="0"/>
    <x v="0"/>
    <m/>
    <n v="68.8"/>
  </r>
  <r>
    <s v="USR-101311"/>
    <d v="2025-01-16T00:00:00"/>
    <x v="1"/>
    <x v="0"/>
    <x v="0"/>
    <x v="1"/>
    <x v="1"/>
    <x v="1"/>
    <x v="1"/>
    <x v="1"/>
    <x v="1"/>
    <n v="428.37"/>
    <x v="0"/>
    <x v="0"/>
    <n v="9"/>
    <n v="88.3"/>
  </r>
  <r>
    <s v="USR-101312"/>
    <d v="2025-01-19T00:00:00"/>
    <x v="1"/>
    <x v="1"/>
    <x v="0"/>
    <x v="0"/>
    <x v="0"/>
    <x v="0"/>
    <x v="0"/>
    <x v="0"/>
    <x v="0"/>
    <n v="0"/>
    <x v="0"/>
    <x v="0"/>
    <m/>
    <n v="83.4"/>
  </r>
  <r>
    <s v="USR-101313"/>
    <d v="2025-05-18T00:00:00"/>
    <x v="1"/>
    <x v="3"/>
    <x v="1"/>
    <x v="3"/>
    <x v="1"/>
    <x v="0"/>
    <x v="0"/>
    <x v="0"/>
    <x v="0"/>
    <n v="0"/>
    <x v="1"/>
    <x v="0"/>
    <m/>
    <n v="81.599999999999994"/>
  </r>
  <r>
    <s v="USR-101314"/>
    <d v="2025-01-23T00:00:00"/>
    <x v="1"/>
    <x v="2"/>
    <x v="2"/>
    <x v="4"/>
    <x v="2"/>
    <x v="1"/>
    <x v="0"/>
    <x v="0"/>
    <x v="0"/>
    <n v="0"/>
    <x v="0"/>
    <x v="0"/>
    <m/>
    <n v="91.6"/>
  </r>
  <r>
    <s v="USR-101315"/>
    <d v="2025-01-08T00:00:00"/>
    <x v="1"/>
    <x v="2"/>
    <x v="2"/>
    <x v="5"/>
    <x v="2"/>
    <x v="1"/>
    <x v="1"/>
    <x v="1"/>
    <x v="0"/>
    <n v="0"/>
    <x v="1"/>
    <x v="0"/>
    <m/>
    <n v="61.5"/>
  </r>
  <r>
    <s v="USR-101316"/>
    <d v="2025-02-19T00:00:00"/>
    <x v="1"/>
    <x v="0"/>
    <x v="1"/>
    <x v="1"/>
    <x v="2"/>
    <x v="0"/>
    <x v="0"/>
    <x v="0"/>
    <x v="0"/>
    <n v="0"/>
    <x v="0"/>
    <x v="0"/>
    <m/>
    <m/>
  </r>
  <r>
    <s v="USR-101317"/>
    <d v="2025-02-10T00:00:00"/>
    <x v="1"/>
    <x v="3"/>
    <x v="1"/>
    <x v="1"/>
    <x v="1"/>
    <x v="1"/>
    <x v="0"/>
    <x v="0"/>
    <x v="0"/>
    <n v="0"/>
    <x v="0"/>
    <x v="0"/>
    <m/>
    <n v="32.6"/>
  </r>
  <r>
    <s v="USR-101318"/>
    <d v="2025-04-13T00:00:00"/>
    <x v="1"/>
    <x v="3"/>
    <x v="1"/>
    <x v="2"/>
    <x v="1"/>
    <x v="1"/>
    <x v="0"/>
    <x v="0"/>
    <x v="0"/>
    <n v="0"/>
    <x v="0"/>
    <x v="0"/>
    <m/>
    <n v="73.900000000000006"/>
  </r>
  <r>
    <s v="USR-101319"/>
    <d v="2025-05-20T00:00:00"/>
    <x v="1"/>
    <x v="2"/>
    <x v="1"/>
    <x v="1"/>
    <x v="1"/>
    <x v="1"/>
    <x v="1"/>
    <x v="1"/>
    <x v="1"/>
    <n v="444.06"/>
    <x v="0"/>
    <x v="0"/>
    <n v="9"/>
    <n v="99.9"/>
  </r>
  <r>
    <s v="USR-101320"/>
    <d v="2025-05-13T00:00:00"/>
    <x v="1"/>
    <x v="3"/>
    <x v="1"/>
    <x v="2"/>
    <x v="0"/>
    <x v="1"/>
    <x v="1"/>
    <x v="0"/>
    <x v="0"/>
    <n v="0"/>
    <x v="1"/>
    <x v="0"/>
    <m/>
    <n v="62.4"/>
  </r>
  <r>
    <s v="USR-101321"/>
    <d v="2025-05-28T00:00:00"/>
    <x v="1"/>
    <x v="3"/>
    <x v="0"/>
    <x v="2"/>
    <x v="0"/>
    <x v="1"/>
    <x v="0"/>
    <x v="0"/>
    <x v="0"/>
    <n v="0"/>
    <x v="0"/>
    <x v="0"/>
    <m/>
    <n v="46.1"/>
  </r>
  <r>
    <s v="USR-101322"/>
    <d v="2025-03-19T00:00:00"/>
    <x v="1"/>
    <x v="1"/>
    <x v="1"/>
    <x v="1"/>
    <x v="1"/>
    <x v="1"/>
    <x v="1"/>
    <x v="1"/>
    <x v="1"/>
    <n v="2660.21"/>
    <x v="0"/>
    <x v="0"/>
    <n v="3"/>
    <n v="73.900000000000006"/>
  </r>
  <r>
    <s v="USR-101323"/>
    <d v="2025-02-03T00:00:00"/>
    <x v="1"/>
    <x v="0"/>
    <x v="1"/>
    <x v="0"/>
    <x v="2"/>
    <x v="0"/>
    <x v="0"/>
    <x v="0"/>
    <x v="0"/>
    <n v="0"/>
    <x v="0"/>
    <x v="0"/>
    <m/>
    <n v="90"/>
  </r>
  <r>
    <s v="USR-101324"/>
    <d v="2025-02-26T00:00:00"/>
    <x v="1"/>
    <x v="3"/>
    <x v="1"/>
    <x v="0"/>
    <x v="0"/>
    <x v="1"/>
    <x v="0"/>
    <x v="0"/>
    <x v="0"/>
    <n v="0"/>
    <x v="1"/>
    <x v="0"/>
    <m/>
    <n v="68.8"/>
  </r>
  <r>
    <s v="USR-101325"/>
    <d v="2025-01-26T00:00:00"/>
    <x v="1"/>
    <x v="1"/>
    <x v="1"/>
    <x v="2"/>
    <x v="1"/>
    <x v="1"/>
    <x v="0"/>
    <x v="0"/>
    <x v="0"/>
    <n v="0"/>
    <x v="0"/>
    <x v="0"/>
    <m/>
    <n v="66.599999999999994"/>
  </r>
  <r>
    <s v="USR-101326"/>
    <d v="2025-05-13T00:00:00"/>
    <x v="1"/>
    <x v="0"/>
    <x v="1"/>
    <x v="1"/>
    <x v="2"/>
    <x v="1"/>
    <x v="0"/>
    <x v="0"/>
    <x v="0"/>
    <n v="0"/>
    <x v="0"/>
    <x v="0"/>
    <m/>
    <n v="49.7"/>
  </r>
  <r>
    <s v="USR-101327"/>
    <d v="2025-02-02T00:00:00"/>
    <x v="1"/>
    <x v="3"/>
    <x v="1"/>
    <x v="2"/>
    <x v="0"/>
    <x v="0"/>
    <x v="0"/>
    <x v="0"/>
    <x v="0"/>
    <n v="0"/>
    <x v="0"/>
    <x v="0"/>
    <m/>
    <n v="67.900000000000006"/>
  </r>
  <r>
    <s v="USR-101328"/>
    <d v="2025-04-30T00:00:00"/>
    <x v="1"/>
    <x v="1"/>
    <x v="1"/>
    <x v="5"/>
    <x v="0"/>
    <x v="0"/>
    <x v="0"/>
    <x v="0"/>
    <x v="0"/>
    <n v="0"/>
    <x v="0"/>
    <x v="0"/>
    <m/>
    <n v="66.900000000000006"/>
  </r>
  <r>
    <s v="USR-101329"/>
    <d v="2025-03-29T00:00:00"/>
    <x v="1"/>
    <x v="2"/>
    <x v="1"/>
    <x v="1"/>
    <x v="1"/>
    <x v="0"/>
    <x v="0"/>
    <x v="0"/>
    <x v="0"/>
    <n v="0"/>
    <x v="0"/>
    <x v="0"/>
    <m/>
    <n v="46.1"/>
  </r>
  <r>
    <s v="USR-101330"/>
    <d v="2025-04-09T00:00:00"/>
    <x v="1"/>
    <x v="1"/>
    <x v="0"/>
    <x v="3"/>
    <x v="2"/>
    <x v="1"/>
    <x v="0"/>
    <x v="0"/>
    <x v="0"/>
    <n v="0"/>
    <x v="0"/>
    <x v="0"/>
    <m/>
    <n v="85.6"/>
  </r>
  <r>
    <s v="USR-101331"/>
    <d v="2025-01-22T00:00:00"/>
    <x v="1"/>
    <x v="3"/>
    <x v="2"/>
    <x v="1"/>
    <x v="1"/>
    <x v="0"/>
    <x v="0"/>
    <x v="0"/>
    <x v="0"/>
    <n v="0"/>
    <x v="0"/>
    <x v="0"/>
    <m/>
    <n v="39.6"/>
  </r>
  <r>
    <s v="USR-101332"/>
    <d v="2025-01-27T00:00:00"/>
    <x v="1"/>
    <x v="3"/>
    <x v="1"/>
    <x v="1"/>
    <x v="0"/>
    <x v="1"/>
    <x v="0"/>
    <x v="0"/>
    <x v="0"/>
    <n v="0"/>
    <x v="0"/>
    <x v="0"/>
    <m/>
    <n v="52.5"/>
  </r>
  <r>
    <s v="USR-101333"/>
    <d v="2025-01-22T00:00:00"/>
    <x v="1"/>
    <x v="2"/>
    <x v="1"/>
    <x v="4"/>
    <x v="2"/>
    <x v="1"/>
    <x v="0"/>
    <x v="0"/>
    <x v="0"/>
    <n v="0"/>
    <x v="0"/>
    <x v="0"/>
    <m/>
    <n v="73.5"/>
  </r>
  <r>
    <s v="USR-101334"/>
    <d v="2025-01-06T00:00:00"/>
    <x v="1"/>
    <x v="1"/>
    <x v="0"/>
    <x v="2"/>
    <x v="1"/>
    <x v="0"/>
    <x v="0"/>
    <x v="0"/>
    <x v="0"/>
    <n v="0"/>
    <x v="0"/>
    <x v="0"/>
    <m/>
    <n v="62.5"/>
  </r>
  <r>
    <s v="USR-101335"/>
    <d v="2025-04-16T00:00:00"/>
    <x v="1"/>
    <x v="3"/>
    <x v="3"/>
    <x v="1"/>
    <x v="1"/>
    <x v="1"/>
    <x v="0"/>
    <x v="0"/>
    <x v="0"/>
    <n v="0"/>
    <x v="0"/>
    <x v="0"/>
    <m/>
    <n v="76.900000000000006"/>
  </r>
  <r>
    <s v="USR-101336"/>
    <d v="2025-04-14T00:00:00"/>
    <x v="1"/>
    <x v="3"/>
    <x v="1"/>
    <x v="1"/>
    <x v="1"/>
    <x v="1"/>
    <x v="0"/>
    <x v="0"/>
    <x v="0"/>
    <n v="0"/>
    <x v="0"/>
    <x v="0"/>
    <m/>
    <n v="51.4"/>
  </r>
  <r>
    <s v="USR-101337"/>
    <d v="2025-02-22T00:00:00"/>
    <x v="1"/>
    <x v="1"/>
    <x v="1"/>
    <x v="2"/>
    <x v="0"/>
    <x v="1"/>
    <x v="0"/>
    <x v="0"/>
    <x v="0"/>
    <n v="0"/>
    <x v="0"/>
    <x v="0"/>
    <m/>
    <n v="59.3"/>
  </r>
  <r>
    <s v="USR-101338"/>
    <d v="2025-03-09T00:00:00"/>
    <x v="1"/>
    <x v="0"/>
    <x v="1"/>
    <x v="1"/>
    <x v="0"/>
    <x v="0"/>
    <x v="0"/>
    <x v="0"/>
    <x v="0"/>
    <n v="0"/>
    <x v="0"/>
    <x v="0"/>
    <m/>
    <n v="74.900000000000006"/>
  </r>
  <r>
    <s v="USR-101339"/>
    <d v="2025-04-20T00:00:00"/>
    <x v="1"/>
    <x v="1"/>
    <x v="0"/>
    <x v="1"/>
    <x v="1"/>
    <x v="1"/>
    <x v="0"/>
    <x v="0"/>
    <x v="0"/>
    <n v="0"/>
    <x v="0"/>
    <x v="0"/>
    <m/>
    <n v="67"/>
  </r>
  <r>
    <s v="USR-101340"/>
    <d v="2025-03-10T00:00:00"/>
    <x v="1"/>
    <x v="3"/>
    <x v="1"/>
    <x v="0"/>
    <x v="1"/>
    <x v="0"/>
    <x v="0"/>
    <x v="0"/>
    <x v="0"/>
    <n v="0"/>
    <x v="0"/>
    <x v="0"/>
    <m/>
    <n v="63.6"/>
  </r>
  <r>
    <s v="USR-101341"/>
    <d v="2025-02-21T00:00:00"/>
    <x v="1"/>
    <x v="3"/>
    <x v="1"/>
    <x v="0"/>
    <x v="1"/>
    <x v="1"/>
    <x v="1"/>
    <x v="0"/>
    <x v="0"/>
    <n v="0"/>
    <x v="1"/>
    <x v="0"/>
    <m/>
    <n v="58.4"/>
  </r>
  <r>
    <s v="USR-101342"/>
    <d v="2025-01-06T00:00:00"/>
    <x v="1"/>
    <x v="0"/>
    <x v="0"/>
    <x v="4"/>
    <x v="1"/>
    <x v="1"/>
    <x v="0"/>
    <x v="0"/>
    <x v="0"/>
    <n v="0"/>
    <x v="0"/>
    <x v="0"/>
    <m/>
    <n v="36.799999999999997"/>
  </r>
  <r>
    <s v="USR-101343"/>
    <d v="2025-04-17T00:00:00"/>
    <x v="1"/>
    <x v="3"/>
    <x v="1"/>
    <x v="1"/>
    <x v="2"/>
    <x v="1"/>
    <x v="0"/>
    <x v="0"/>
    <x v="0"/>
    <n v="0"/>
    <x v="0"/>
    <x v="0"/>
    <m/>
    <n v="71.599999999999994"/>
  </r>
  <r>
    <s v="USR-101344"/>
    <d v="2025-05-23T00:00:00"/>
    <x v="1"/>
    <x v="3"/>
    <x v="1"/>
    <x v="0"/>
    <x v="0"/>
    <x v="1"/>
    <x v="1"/>
    <x v="0"/>
    <x v="0"/>
    <n v="0"/>
    <x v="1"/>
    <x v="0"/>
    <m/>
    <n v="79.7"/>
  </r>
  <r>
    <s v="USR-101345"/>
    <d v="2025-03-14T00:00:00"/>
    <x v="1"/>
    <x v="1"/>
    <x v="0"/>
    <x v="1"/>
    <x v="0"/>
    <x v="1"/>
    <x v="0"/>
    <x v="0"/>
    <x v="0"/>
    <n v="0"/>
    <x v="1"/>
    <x v="0"/>
    <m/>
    <n v="56.5"/>
  </r>
  <r>
    <s v="USR-101346"/>
    <d v="2025-04-21T00:00:00"/>
    <x v="1"/>
    <x v="0"/>
    <x v="1"/>
    <x v="4"/>
    <x v="2"/>
    <x v="1"/>
    <x v="0"/>
    <x v="0"/>
    <x v="0"/>
    <n v="0"/>
    <x v="0"/>
    <x v="0"/>
    <m/>
    <n v="44.7"/>
  </r>
  <r>
    <s v="USR-101347"/>
    <d v="2025-01-03T00:00:00"/>
    <x v="1"/>
    <x v="3"/>
    <x v="1"/>
    <x v="4"/>
    <x v="1"/>
    <x v="1"/>
    <x v="1"/>
    <x v="1"/>
    <x v="0"/>
    <n v="0"/>
    <x v="1"/>
    <x v="0"/>
    <m/>
    <n v="66"/>
  </r>
  <r>
    <s v="USR-101348"/>
    <d v="2025-05-09T00:00:00"/>
    <x v="1"/>
    <x v="0"/>
    <x v="0"/>
    <x v="1"/>
    <x v="0"/>
    <x v="1"/>
    <x v="0"/>
    <x v="0"/>
    <x v="0"/>
    <n v="0"/>
    <x v="0"/>
    <x v="0"/>
    <m/>
    <n v="73"/>
  </r>
  <r>
    <s v="USR-101349"/>
    <d v="2025-05-22T00:00:00"/>
    <x v="1"/>
    <x v="3"/>
    <x v="1"/>
    <x v="1"/>
    <x v="0"/>
    <x v="1"/>
    <x v="1"/>
    <x v="1"/>
    <x v="0"/>
    <n v="0"/>
    <x v="1"/>
    <x v="0"/>
    <m/>
    <n v="72.5"/>
  </r>
  <r>
    <s v="USR-101350"/>
    <d v="2025-05-07T00:00:00"/>
    <x v="1"/>
    <x v="3"/>
    <x v="0"/>
    <x v="2"/>
    <x v="1"/>
    <x v="1"/>
    <x v="1"/>
    <x v="1"/>
    <x v="1"/>
    <n v="323.60000000000002"/>
    <x v="0"/>
    <x v="0"/>
    <n v="6"/>
    <n v="100"/>
  </r>
  <r>
    <s v="USR-101351"/>
    <d v="2025-02-08T00:00:00"/>
    <x v="1"/>
    <x v="2"/>
    <x v="1"/>
    <x v="4"/>
    <x v="1"/>
    <x v="0"/>
    <x v="0"/>
    <x v="0"/>
    <x v="0"/>
    <n v="0"/>
    <x v="1"/>
    <x v="0"/>
    <m/>
    <n v="90.5"/>
  </r>
  <r>
    <s v="USR-101352"/>
    <d v="2025-04-03T00:00:00"/>
    <x v="1"/>
    <x v="0"/>
    <x v="2"/>
    <x v="4"/>
    <x v="0"/>
    <x v="1"/>
    <x v="0"/>
    <x v="0"/>
    <x v="0"/>
    <n v="0"/>
    <x v="0"/>
    <x v="0"/>
    <m/>
    <n v="70.2"/>
  </r>
  <r>
    <s v="USR-101353"/>
    <d v="2025-04-17T00:00:00"/>
    <x v="1"/>
    <x v="2"/>
    <x v="0"/>
    <x v="2"/>
    <x v="1"/>
    <x v="1"/>
    <x v="0"/>
    <x v="0"/>
    <x v="0"/>
    <n v="0"/>
    <x v="1"/>
    <x v="0"/>
    <m/>
    <n v="67.099999999999994"/>
  </r>
  <r>
    <s v="USR-101354"/>
    <d v="2025-05-04T00:00:00"/>
    <x v="1"/>
    <x v="2"/>
    <x v="1"/>
    <x v="1"/>
    <x v="1"/>
    <x v="0"/>
    <x v="0"/>
    <x v="0"/>
    <x v="0"/>
    <n v="0"/>
    <x v="0"/>
    <x v="0"/>
    <m/>
    <n v="54.5"/>
  </r>
  <r>
    <s v="USR-101355"/>
    <d v="2025-05-11T00:00:00"/>
    <x v="1"/>
    <x v="1"/>
    <x v="0"/>
    <x v="1"/>
    <x v="1"/>
    <x v="1"/>
    <x v="0"/>
    <x v="0"/>
    <x v="0"/>
    <n v="0"/>
    <x v="0"/>
    <x v="0"/>
    <m/>
    <n v="63.4"/>
  </r>
  <r>
    <s v="USR-101356"/>
    <d v="2025-03-01T00:00:00"/>
    <x v="1"/>
    <x v="0"/>
    <x v="0"/>
    <x v="5"/>
    <x v="1"/>
    <x v="1"/>
    <x v="1"/>
    <x v="1"/>
    <x v="0"/>
    <n v="0"/>
    <x v="0"/>
    <x v="0"/>
    <m/>
    <n v="84.3"/>
  </r>
  <r>
    <s v="USR-101357"/>
    <d v="2025-02-20T00:00:00"/>
    <x v="1"/>
    <x v="1"/>
    <x v="0"/>
    <x v="1"/>
    <x v="1"/>
    <x v="1"/>
    <x v="0"/>
    <x v="0"/>
    <x v="0"/>
    <n v="0"/>
    <x v="1"/>
    <x v="0"/>
    <m/>
    <n v="55"/>
  </r>
  <r>
    <s v="USR-101358"/>
    <d v="2025-05-09T00:00:00"/>
    <x v="1"/>
    <x v="1"/>
    <x v="1"/>
    <x v="4"/>
    <x v="1"/>
    <x v="1"/>
    <x v="0"/>
    <x v="0"/>
    <x v="0"/>
    <n v="0"/>
    <x v="0"/>
    <x v="0"/>
    <m/>
    <n v="63.6"/>
  </r>
  <r>
    <s v="USR-101359"/>
    <d v="2025-04-30T00:00:00"/>
    <x v="1"/>
    <x v="1"/>
    <x v="1"/>
    <x v="1"/>
    <x v="1"/>
    <x v="1"/>
    <x v="0"/>
    <x v="0"/>
    <x v="0"/>
    <n v="0"/>
    <x v="0"/>
    <x v="0"/>
    <m/>
    <n v="55.5"/>
  </r>
  <r>
    <s v="USR-101360"/>
    <d v="2025-01-07T00:00:00"/>
    <x v="1"/>
    <x v="3"/>
    <x v="1"/>
    <x v="4"/>
    <x v="0"/>
    <x v="0"/>
    <x v="0"/>
    <x v="0"/>
    <x v="0"/>
    <n v="0"/>
    <x v="0"/>
    <x v="0"/>
    <m/>
    <n v="50.5"/>
  </r>
  <r>
    <s v="USR-101361"/>
    <d v="2025-04-30T00:00:00"/>
    <x v="1"/>
    <x v="0"/>
    <x v="1"/>
    <x v="4"/>
    <x v="0"/>
    <x v="1"/>
    <x v="0"/>
    <x v="0"/>
    <x v="0"/>
    <n v="0"/>
    <x v="0"/>
    <x v="0"/>
    <m/>
    <n v="45.3"/>
  </r>
  <r>
    <s v="USR-101210"/>
    <d v="2025-02-24T00:00:00"/>
    <x v="1"/>
    <x v="1"/>
    <x v="1"/>
    <x v="1"/>
    <x v="0"/>
    <x v="1"/>
    <x v="0"/>
    <x v="0"/>
    <x v="0"/>
    <n v="0"/>
    <x v="0"/>
    <x v="0"/>
    <m/>
    <n v="62"/>
  </r>
  <r>
    <s v="USR-101363"/>
    <d v="2025-03-12T00:00:00"/>
    <x v="1"/>
    <x v="3"/>
    <x v="1"/>
    <x v="2"/>
    <x v="2"/>
    <x v="1"/>
    <x v="1"/>
    <x v="1"/>
    <x v="0"/>
    <n v="0"/>
    <x v="0"/>
    <x v="0"/>
    <m/>
    <n v="88.2"/>
  </r>
  <r>
    <s v="USR-101364"/>
    <d v="2025-02-17T00:00:00"/>
    <x v="1"/>
    <x v="0"/>
    <x v="1"/>
    <x v="1"/>
    <x v="2"/>
    <x v="1"/>
    <x v="0"/>
    <x v="0"/>
    <x v="0"/>
    <n v="0"/>
    <x v="0"/>
    <x v="0"/>
    <m/>
    <n v="51.8"/>
  </r>
  <r>
    <s v="USR-101365"/>
    <d v="2025-05-27T00:00:00"/>
    <x v="1"/>
    <x v="0"/>
    <x v="0"/>
    <x v="1"/>
    <x v="0"/>
    <x v="0"/>
    <x v="0"/>
    <x v="0"/>
    <x v="0"/>
    <n v="0"/>
    <x v="0"/>
    <x v="0"/>
    <m/>
    <n v="87.9"/>
  </r>
  <r>
    <s v="USR-101366"/>
    <d v="2025-05-10T00:00:00"/>
    <x v="1"/>
    <x v="3"/>
    <x v="1"/>
    <x v="4"/>
    <x v="2"/>
    <x v="1"/>
    <x v="0"/>
    <x v="0"/>
    <x v="0"/>
    <n v="0"/>
    <x v="2"/>
    <x v="0"/>
    <m/>
    <n v="70.5"/>
  </r>
  <r>
    <s v="USR-101367"/>
    <d v="2025-01-20T00:00:00"/>
    <x v="1"/>
    <x v="0"/>
    <x v="1"/>
    <x v="1"/>
    <x v="0"/>
    <x v="1"/>
    <x v="1"/>
    <x v="0"/>
    <x v="0"/>
    <n v="0"/>
    <x v="2"/>
    <x v="0"/>
    <m/>
    <n v="58.5"/>
  </r>
  <r>
    <s v="USR-101368"/>
    <d v="2025-01-19T00:00:00"/>
    <x v="1"/>
    <x v="2"/>
    <x v="1"/>
    <x v="3"/>
    <x v="1"/>
    <x v="1"/>
    <x v="0"/>
    <x v="0"/>
    <x v="0"/>
    <n v="0"/>
    <x v="0"/>
    <x v="0"/>
    <m/>
    <n v="65.599999999999994"/>
  </r>
  <r>
    <s v="USR-101369"/>
    <d v="2025-03-07T00:00:00"/>
    <x v="1"/>
    <x v="1"/>
    <x v="0"/>
    <x v="2"/>
    <x v="0"/>
    <x v="1"/>
    <x v="1"/>
    <x v="0"/>
    <x v="0"/>
    <n v="0"/>
    <x v="0"/>
    <x v="0"/>
    <m/>
    <n v="62.7"/>
  </r>
  <r>
    <s v="USR-101370"/>
    <d v="2025-02-02T00:00:00"/>
    <x v="1"/>
    <x v="2"/>
    <x v="1"/>
    <x v="1"/>
    <x v="1"/>
    <x v="0"/>
    <x v="0"/>
    <x v="0"/>
    <x v="0"/>
    <n v="0"/>
    <x v="1"/>
    <x v="0"/>
    <m/>
    <n v="50.9"/>
  </r>
  <r>
    <s v="USR-101371"/>
    <d v="2025-03-07T00:00:00"/>
    <x v="1"/>
    <x v="0"/>
    <x v="1"/>
    <x v="1"/>
    <x v="1"/>
    <x v="0"/>
    <x v="0"/>
    <x v="0"/>
    <x v="0"/>
    <n v="0"/>
    <x v="1"/>
    <x v="0"/>
    <m/>
    <n v="60.6"/>
  </r>
  <r>
    <s v="USR-101372"/>
    <d v="2025-03-30T00:00:00"/>
    <x v="1"/>
    <x v="2"/>
    <x v="0"/>
    <x v="1"/>
    <x v="1"/>
    <x v="1"/>
    <x v="1"/>
    <x v="1"/>
    <x v="0"/>
    <n v="0"/>
    <x v="0"/>
    <x v="0"/>
    <m/>
    <n v="76.599999999999994"/>
  </r>
  <r>
    <s v="USR-101373"/>
    <d v="2025-05-05T00:00:00"/>
    <x v="1"/>
    <x v="2"/>
    <x v="0"/>
    <x v="2"/>
    <x v="1"/>
    <x v="1"/>
    <x v="1"/>
    <x v="1"/>
    <x v="0"/>
    <n v="0"/>
    <x v="0"/>
    <x v="0"/>
    <m/>
    <n v="54.4"/>
  </r>
  <r>
    <s v="USR-101374"/>
    <d v="2025-04-11T00:00:00"/>
    <x v="1"/>
    <x v="3"/>
    <x v="1"/>
    <x v="4"/>
    <x v="1"/>
    <x v="1"/>
    <x v="0"/>
    <x v="0"/>
    <x v="0"/>
    <n v="0"/>
    <x v="0"/>
    <x v="0"/>
    <m/>
    <n v="31.2"/>
  </r>
  <r>
    <s v="USR-101375"/>
    <d v="2025-03-25T00:00:00"/>
    <x v="1"/>
    <x v="1"/>
    <x v="0"/>
    <x v="0"/>
    <x v="2"/>
    <x v="1"/>
    <x v="0"/>
    <x v="0"/>
    <x v="0"/>
    <n v="0"/>
    <x v="0"/>
    <x v="0"/>
    <m/>
    <n v="72.400000000000006"/>
  </r>
  <r>
    <s v="USR-101376"/>
    <d v="2025-03-24T00:00:00"/>
    <x v="1"/>
    <x v="0"/>
    <x v="1"/>
    <x v="1"/>
    <x v="2"/>
    <x v="1"/>
    <x v="0"/>
    <x v="0"/>
    <x v="0"/>
    <n v="0"/>
    <x v="0"/>
    <x v="0"/>
    <m/>
    <n v="74.5"/>
  </r>
  <r>
    <s v="USR-101377"/>
    <d v="2025-04-27T00:00:00"/>
    <x v="1"/>
    <x v="2"/>
    <x v="1"/>
    <x v="1"/>
    <x v="0"/>
    <x v="0"/>
    <x v="0"/>
    <x v="0"/>
    <x v="0"/>
    <n v="0"/>
    <x v="0"/>
    <x v="0"/>
    <m/>
    <n v="52.6"/>
  </r>
  <r>
    <s v="USR-101378"/>
    <d v="2025-01-25T00:00:00"/>
    <x v="1"/>
    <x v="0"/>
    <x v="0"/>
    <x v="2"/>
    <x v="1"/>
    <x v="1"/>
    <x v="0"/>
    <x v="0"/>
    <x v="0"/>
    <n v="0"/>
    <x v="0"/>
    <x v="0"/>
    <m/>
    <n v="75.400000000000006"/>
  </r>
  <r>
    <s v="USR-101379"/>
    <d v="2025-02-17T00:00:00"/>
    <x v="1"/>
    <x v="0"/>
    <x v="2"/>
    <x v="4"/>
    <x v="0"/>
    <x v="1"/>
    <x v="1"/>
    <x v="1"/>
    <x v="1"/>
    <n v="751.33"/>
    <x v="0"/>
    <x v="0"/>
    <n v="9"/>
    <n v="34"/>
  </r>
  <r>
    <s v="USR-101380"/>
    <d v="2025-04-13T00:00:00"/>
    <x v="1"/>
    <x v="3"/>
    <x v="0"/>
    <x v="1"/>
    <x v="1"/>
    <x v="1"/>
    <x v="0"/>
    <x v="0"/>
    <x v="0"/>
    <n v="0"/>
    <x v="0"/>
    <x v="0"/>
    <m/>
    <n v="67.099999999999994"/>
  </r>
  <r>
    <s v="USR-101381"/>
    <d v="2025-05-03T00:00:00"/>
    <x v="1"/>
    <x v="1"/>
    <x v="0"/>
    <x v="2"/>
    <x v="2"/>
    <x v="1"/>
    <x v="0"/>
    <x v="0"/>
    <x v="0"/>
    <n v="0"/>
    <x v="0"/>
    <x v="0"/>
    <m/>
    <n v="37.299999999999997"/>
  </r>
  <r>
    <s v="USR-101382"/>
    <d v="2025-04-29T00:00:00"/>
    <x v="1"/>
    <x v="1"/>
    <x v="1"/>
    <x v="0"/>
    <x v="1"/>
    <x v="1"/>
    <x v="0"/>
    <x v="0"/>
    <x v="0"/>
    <n v="0"/>
    <x v="0"/>
    <x v="0"/>
    <m/>
    <n v="54.7"/>
  </r>
  <r>
    <s v="USR-101383"/>
    <d v="2025-05-03T00:00:00"/>
    <x v="1"/>
    <x v="2"/>
    <x v="0"/>
    <x v="2"/>
    <x v="1"/>
    <x v="1"/>
    <x v="0"/>
    <x v="0"/>
    <x v="0"/>
    <n v="0"/>
    <x v="0"/>
    <x v="0"/>
    <m/>
    <n v="51.8"/>
  </r>
  <r>
    <s v="USR-101384"/>
    <d v="2025-04-28T00:00:00"/>
    <x v="1"/>
    <x v="1"/>
    <x v="1"/>
    <x v="2"/>
    <x v="1"/>
    <x v="0"/>
    <x v="0"/>
    <x v="0"/>
    <x v="0"/>
    <n v="0"/>
    <x v="0"/>
    <x v="0"/>
    <m/>
    <n v="49.2"/>
  </r>
  <r>
    <s v="USR-101385"/>
    <d v="2025-01-21T00:00:00"/>
    <x v="1"/>
    <x v="1"/>
    <x v="1"/>
    <x v="1"/>
    <x v="1"/>
    <x v="1"/>
    <x v="0"/>
    <x v="0"/>
    <x v="0"/>
    <n v="0"/>
    <x v="2"/>
    <x v="0"/>
    <m/>
    <n v="58.8"/>
  </r>
  <r>
    <s v="USR-101386"/>
    <d v="2025-01-21T00:00:00"/>
    <x v="1"/>
    <x v="0"/>
    <x v="2"/>
    <x v="2"/>
    <x v="0"/>
    <x v="0"/>
    <x v="0"/>
    <x v="0"/>
    <x v="0"/>
    <n v="0"/>
    <x v="1"/>
    <x v="0"/>
    <m/>
    <n v="59.1"/>
  </r>
  <r>
    <s v="USR-101387"/>
    <d v="2025-05-21T00:00:00"/>
    <x v="1"/>
    <x v="1"/>
    <x v="0"/>
    <x v="2"/>
    <x v="1"/>
    <x v="1"/>
    <x v="0"/>
    <x v="0"/>
    <x v="0"/>
    <n v="0"/>
    <x v="2"/>
    <x v="0"/>
    <m/>
    <n v="49.6"/>
  </r>
  <r>
    <s v="USR-101388"/>
    <d v="2025-01-05T00:00:00"/>
    <x v="1"/>
    <x v="0"/>
    <x v="1"/>
    <x v="3"/>
    <x v="1"/>
    <x v="0"/>
    <x v="0"/>
    <x v="0"/>
    <x v="0"/>
    <n v="0"/>
    <x v="0"/>
    <x v="0"/>
    <m/>
    <n v="58.2"/>
  </r>
  <r>
    <s v="USR-101389"/>
    <d v="2025-03-06T00:00:00"/>
    <x v="1"/>
    <x v="3"/>
    <x v="0"/>
    <x v="1"/>
    <x v="1"/>
    <x v="1"/>
    <x v="0"/>
    <x v="0"/>
    <x v="0"/>
    <n v="0"/>
    <x v="0"/>
    <x v="0"/>
    <m/>
    <n v="66.8"/>
  </r>
  <r>
    <s v="USR-101390"/>
    <d v="2025-04-18T00:00:00"/>
    <x v="1"/>
    <x v="0"/>
    <x v="1"/>
    <x v="2"/>
    <x v="1"/>
    <x v="1"/>
    <x v="0"/>
    <x v="0"/>
    <x v="0"/>
    <n v="0"/>
    <x v="3"/>
    <x v="0"/>
    <m/>
    <n v="58.3"/>
  </r>
  <r>
    <s v="USR-101391"/>
    <d v="2025-04-15T00:00:00"/>
    <x v="1"/>
    <x v="1"/>
    <x v="1"/>
    <x v="1"/>
    <x v="0"/>
    <x v="1"/>
    <x v="1"/>
    <x v="1"/>
    <x v="0"/>
    <n v="0"/>
    <x v="0"/>
    <x v="0"/>
    <m/>
    <n v="38.5"/>
  </r>
  <r>
    <s v="USR-101392"/>
    <d v="2025-02-10T00:00:00"/>
    <x v="1"/>
    <x v="2"/>
    <x v="1"/>
    <x v="2"/>
    <x v="1"/>
    <x v="1"/>
    <x v="0"/>
    <x v="0"/>
    <x v="0"/>
    <n v="0"/>
    <x v="0"/>
    <x v="0"/>
    <m/>
    <n v="76.900000000000006"/>
  </r>
  <r>
    <s v="USR-101393"/>
    <d v="2025-05-08T00:00:00"/>
    <x v="1"/>
    <x v="2"/>
    <x v="1"/>
    <x v="1"/>
    <x v="1"/>
    <x v="1"/>
    <x v="0"/>
    <x v="0"/>
    <x v="0"/>
    <n v="0"/>
    <x v="0"/>
    <x v="0"/>
    <m/>
    <n v="54"/>
  </r>
  <r>
    <s v="USR-101394"/>
    <d v="2025-05-28T00:00:00"/>
    <x v="1"/>
    <x v="2"/>
    <x v="2"/>
    <x v="1"/>
    <x v="1"/>
    <x v="1"/>
    <x v="0"/>
    <x v="0"/>
    <x v="0"/>
    <n v="0"/>
    <x v="0"/>
    <x v="0"/>
    <m/>
    <n v="70.599999999999994"/>
  </r>
  <r>
    <s v="USR-101395"/>
    <d v="2025-04-25T00:00:00"/>
    <x v="1"/>
    <x v="0"/>
    <x v="2"/>
    <x v="3"/>
    <x v="2"/>
    <x v="1"/>
    <x v="1"/>
    <x v="1"/>
    <x v="0"/>
    <n v="0"/>
    <x v="1"/>
    <x v="0"/>
    <m/>
    <n v="69.400000000000006"/>
  </r>
  <r>
    <s v="USR-101396"/>
    <d v="2025-02-11T00:00:00"/>
    <x v="1"/>
    <x v="3"/>
    <x v="1"/>
    <x v="5"/>
    <x v="2"/>
    <x v="1"/>
    <x v="1"/>
    <x v="1"/>
    <x v="1"/>
    <n v="1009.9"/>
    <x v="0"/>
    <x v="0"/>
    <n v="6"/>
    <n v="89.7"/>
  </r>
  <r>
    <s v="USR-101397"/>
    <d v="2025-04-14T00:00:00"/>
    <x v="1"/>
    <x v="1"/>
    <x v="1"/>
    <x v="1"/>
    <x v="1"/>
    <x v="1"/>
    <x v="0"/>
    <x v="0"/>
    <x v="0"/>
    <n v="0"/>
    <x v="0"/>
    <x v="0"/>
    <m/>
    <n v="62.4"/>
  </r>
  <r>
    <s v="USR-101398"/>
    <d v="2025-02-04T00:00:00"/>
    <x v="1"/>
    <x v="1"/>
    <x v="2"/>
    <x v="1"/>
    <x v="2"/>
    <x v="0"/>
    <x v="0"/>
    <x v="0"/>
    <x v="0"/>
    <n v="0"/>
    <x v="0"/>
    <x v="0"/>
    <m/>
    <n v="67.3"/>
  </r>
  <r>
    <s v="USR-101399"/>
    <d v="2025-03-22T00:00:00"/>
    <x v="1"/>
    <x v="2"/>
    <x v="1"/>
    <x v="3"/>
    <x v="1"/>
    <x v="1"/>
    <x v="0"/>
    <x v="0"/>
    <x v="0"/>
    <n v="0"/>
    <x v="0"/>
    <x v="0"/>
    <m/>
    <n v="54.9"/>
  </r>
  <r>
    <s v="USR-101400"/>
    <d v="2025-04-18T00:00:00"/>
    <x v="1"/>
    <x v="2"/>
    <x v="0"/>
    <x v="4"/>
    <x v="1"/>
    <x v="0"/>
    <x v="0"/>
    <x v="0"/>
    <x v="0"/>
    <n v="0"/>
    <x v="0"/>
    <x v="0"/>
    <m/>
    <n v="55.7"/>
  </r>
  <r>
    <s v="USR-101210"/>
    <d v="2025-02-24T00:00:00"/>
    <x v="1"/>
    <x v="1"/>
    <x v="1"/>
    <x v="1"/>
    <x v="0"/>
    <x v="1"/>
    <x v="0"/>
    <x v="0"/>
    <x v="0"/>
    <n v="0"/>
    <x v="0"/>
    <x v="0"/>
    <m/>
    <n v="62"/>
  </r>
  <r>
    <s v="USR-101232"/>
    <d v="2025-03-30T00:00:00"/>
    <x v="1"/>
    <x v="2"/>
    <x v="1"/>
    <x v="1"/>
    <x v="1"/>
    <x v="1"/>
    <x v="1"/>
    <x v="1"/>
    <x v="0"/>
    <n v="0"/>
    <x v="1"/>
    <x v="0"/>
    <m/>
    <n v="72.5"/>
  </r>
  <r>
    <s v="USR-101232"/>
    <d v="2025-03-30T00:00:00"/>
    <x v="1"/>
    <x v="2"/>
    <x v="1"/>
    <x v="1"/>
    <x v="1"/>
    <x v="1"/>
    <x v="1"/>
    <x v="1"/>
    <x v="0"/>
    <n v="0"/>
    <x v="1"/>
    <x v="0"/>
    <m/>
    <n v="72.5"/>
  </r>
  <r>
    <s v="USR-101362"/>
    <d v="2025-05-23T00:00:00"/>
    <x v="1"/>
    <x v="2"/>
    <x v="1"/>
    <x v="1"/>
    <x v="0"/>
    <x v="1"/>
    <x v="0"/>
    <x v="0"/>
    <x v="0"/>
    <n v="0"/>
    <x v="0"/>
    <x v="0"/>
    <m/>
    <n v="33.6"/>
  </r>
  <r>
    <s v="USR-101362"/>
    <d v="2025-05-23T00:00:00"/>
    <x v="1"/>
    <x v="2"/>
    <x v="1"/>
    <x v="1"/>
    <x v="0"/>
    <x v="1"/>
    <x v="0"/>
    <x v="0"/>
    <x v="0"/>
    <n v="0"/>
    <x v="0"/>
    <x v="0"/>
    <m/>
    <n v="33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x v="0"/>
    <s v="Email"/>
    <s v="Basic"/>
    <n v="0"/>
    <n v="0"/>
    <n v="0"/>
    <n v="0"/>
    <n v="0"/>
    <x v="0"/>
    <n v="0"/>
    <m/>
    <n v="45.7"/>
    <x v="0"/>
  </r>
  <r>
    <s v="USR-100002"/>
    <d v="2025-03-08T00:00:00"/>
    <x v="0"/>
    <s v="West"/>
    <x v="1"/>
    <s v="Organic"/>
    <s v="Free"/>
    <n v="1"/>
    <n v="0"/>
    <n v="0"/>
    <n v="0"/>
    <n v="0"/>
    <x v="0"/>
    <n v="0"/>
    <m/>
    <n v="48.6"/>
    <x v="0"/>
  </r>
  <r>
    <s v="USR-100003"/>
    <d v="2025-04-24T00:00:00"/>
    <x v="0"/>
    <s v="East"/>
    <x v="1"/>
    <s v="Paid Search"/>
    <s v="Premium"/>
    <n v="1"/>
    <n v="0"/>
    <n v="0"/>
    <n v="0"/>
    <n v="0"/>
    <x v="1"/>
    <n v="0"/>
    <m/>
    <n v="35.4"/>
    <x v="0"/>
  </r>
  <r>
    <s v="USR-100004"/>
    <d v="2025-05-04T00:00:00"/>
    <x v="0"/>
    <s v="South"/>
    <x v="1"/>
    <s v="Email"/>
    <s v="Basic"/>
    <n v="1"/>
    <n v="0"/>
    <n v="0"/>
    <n v="0"/>
    <n v="0"/>
    <x v="0"/>
    <n v="0"/>
    <m/>
    <n v="64.599999999999994"/>
    <x v="0"/>
  </r>
  <r>
    <s v="USR-100005"/>
    <d v="2025-02-12T00:00:00"/>
    <x v="0"/>
    <s v="North"/>
    <x v="2"/>
    <s v="Organic"/>
    <s v="Free"/>
    <n v="0"/>
    <n v="0"/>
    <n v="0"/>
    <n v="0"/>
    <n v="0"/>
    <x v="0"/>
    <n v="0"/>
    <m/>
    <n v="66.599999999999994"/>
    <x v="0"/>
  </r>
  <r>
    <s v="USR-100006"/>
    <d v="2025-01-28T00:00:00"/>
    <x v="0"/>
    <s v="East"/>
    <x v="1"/>
    <s v="Organic"/>
    <s v="Premium"/>
    <n v="1"/>
    <n v="0"/>
    <n v="0"/>
    <n v="0"/>
    <n v="0"/>
    <x v="0"/>
    <n v="0"/>
    <m/>
    <n v="40.799999999999997"/>
    <x v="0"/>
  </r>
  <r>
    <s v="USR-100007"/>
    <d v="2025-04-08T00:00:00"/>
    <x v="0"/>
    <s v="East"/>
    <x v="1"/>
    <s v="Paid Search"/>
    <s v="Basic"/>
    <n v="1"/>
    <n v="1"/>
    <n v="0"/>
    <n v="0"/>
    <n v="0"/>
    <x v="0"/>
    <n v="0"/>
    <m/>
    <n v="57.1"/>
    <x v="0"/>
  </r>
  <r>
    <s v="USR-100008"/>
    <d v="2025-05-17T00:00:00"/>
    <x v="0"/>
    <s v="South"/>
    <x v="1"/>
    <s v="Paid Search"/>
    <s v="Free"/>
    <n v="0"/>
    <n v="0"/>
    <n v="0"/>
    <n v="0"/>
    <n v="0"/>
    <x v="0"/>
    <n v="0"/>
    <m/>
    <n v="36.4"/>
    <x v="0"/>
  </r>
  <r>
    <s v="USR-100009"/>
    <d v="2025-02-23T00:00:00"/>
    <x v="0"/>
    <s v="South"/>
    <x v="2"/>
    <s v="Referral"/>
    <s v="Basic"/>
    <n v="0"/>
    <n v="0"/>
    <n v="0"/>
    <n v="0"/>
    <n v="0"/>
    <x v="0"/>
    <n v="0"/>
    <m/>
    <n v="55.4"/>
    <x v="0"/>
  </r>
  <r>
    <s v="USR-100010"/>
    <d v="2025-05-29T00:00:00"/>
    <x v="0"/>
    <s v="West"/>
    <x v="0"/>
    <s v="Social"/>
    <s v="Free"/>
    <n v="1"/>
    <n v="0"/>
    <n v="0"/>
    <n v="0"/>
    <n v="0"/>
    <x v="0"/>
    <n v="0"/>
    <m/>
    <n v="57.3"/>
    <x v="0"/>
  </r>
  <r>
    <s v="USR-100011"/>
    <d v="2025-04-30T00:00:00"/>
    <x v="0"/>
    <s v="East"/>
    <x v="1"/>
    <s v="Paid Search"/>
    <s v="Basic"/>
    <n v="1"/>
    <n v="1"/>
    <n v="1"/>
    <n v="0"/>
    <n v="0"/>
    <x v="0"/>
    <n v="0"/>
    <m/>
    <n v="63.6"/>
    <x v="0"/>
  </r>
  <r>
    <s v="USR-100012"/>
    <d v="2025-03-16T00:00:00"/>
    <x v="0"/>
    <s v="East"/>
    <x v="1"/>
    <s v="Social"/>
    <s v="Premium"/>
    <n v="1"/>
    <n v="1"/>
    <n v="1"/>
    <n v="0"/>
    <n v="0"/>
    <x v="1"/>
    <n v="0"/>
    <m/>
    <n v="80.400000000000006"/>
    <x v="0"/>
  </r>
  <r>
    <s v="USR-100013"/>
    <d v="2025-02-07T00:00:00"/>
    <x v="0"/>
    <s v="South"/>
    <x v="0"/>
    <s v="Email"/>
    <s v="Basic"/>
    <n v="1"/>
    <n v="0"/>
    <n v="0"/>
    <n v="0"/>
    <n v="0"/>
    <x v="0"/>
    <n v="0"/>
    <m/>
    <n v="62.4"/>
    <x v="0"/>
  </r>
  <r>
    <s v="USR-100014"/>
    <d v="2025-03-02T00:00:00"/>
    <x v="0"/>
    <s v="West"/>
    <x v="1"/>
    <s v="Social"/>
    <s v="Basic"/>
    <n v="1"/>
    <n v="0"/>
    <n v="0"/>
    <n v="0"/>
    <n v="0"/>
    <x v="0"/>
    <n v="0"/>
    <m/>
    <n v="82.4"/>
    <x v="0"/>
  </r>
  <r>
    <s v="USR-100015"/>
    <d v="2025-05-30T00:00:00"/>
    <x v="0"/>
    <s v="South"/>
    <x v="1"/>
    <s v="Organic"/>
    <s v="Basic"/>
    <n v="0"/>
    <n v="0"/>
    <n v="0"/>
    <n v="0"/>
    <n v="0"/>
    <x v="0"/>
    <n v="0"/>
    <m/>
    <n v="61.2"/>
    <x v="0"/>
  </r>
  <r>
    <s v="USR-100016"/>
    <d v="2025-03-25T00:00:00"/>
    <x v="0"/>
    <s v="South"/>
    <x v="1"/>
    <s v="Social"/>
    <s v="Basic"/>
    <n v="1"/>
    <n v="0"/>
    <n v="0"/>
    <n v="0"/>
    <n v="0"/>
    <x v="0"/>
    <n v="0"/>
    <m/>
    <n v="68.900000000000006"/>
    <x v="0"/>
  </r>
  <r>
    <s v="USR-100017"/>
    <d v="2025-03-27T00:00:00"/>
    <x v="0"/>
    <s v="East"/>
    <x v="0"/>
    <s v="Paid Search"/>
    <s v="Free"/>
    <n v="1"/>
    <n v="1"/>
    <n v="1"/>
    <n v="0"/>
    <n v="0"/>
    <x v="0"/>
    <n v="0"/>
    <m/>
    <n v="71.900000000000006"/>
    <x v="0"/>
  </r>
  <r>
    <s v="USR-100018"/>
    <d v="2025-05-28T00:00:00"/>
    <x v="0"/>
    <s v="South"/>
    <x v="0"/>
    <s v="Paid Search"/>
    <s v="Free"/>
    <n v="0"/>
    <n v="0"/>
    <n v="0"/>
    <n v="0"/>
    <n v="0"/>
    <x v="0"/>
    <n v="0"/>
    <m/>
    <n v="50.5"/>
    <x v="0"/>
  </r>
  <r>
    <s v="USR-100019"/>
    <d v="2025-02-15T00:00:00"/>
    <x v="0"/>
    <s v="North"/>
    <x v="0"/>
    <s v="Paid Search"/>
    <s v="Basic"/>
    <n v="0"/>
    <n v="0"/>
    <n v="0"/>
    <n v="0"/>
    <n v="0"/>
    <x v="0"/>
    <n v="0"/>
    <m/>
    <n v="49.3"/>
    <x v="0"/>
  </r>
  <r>
    <s v="USR-100020"/>
    <d v="2025-05-05T00:00:00"/>
    <x v="0"/>
    <s v="West"/>
    <x v="0"/>
    <s v="Organic"/>
    <s v="Basic"/>
    <n v="0"/>
    <n v="0"/>
    <n v="0"/>
    <n v="0"/>
    <n v="0"/>
    <x v="2"/>
    <n v="0"/>
    <m/>
    <n v="60.9"/>
    <x v="0"/>
  </r>
  <r>
    <s v="USR-100021"/>
    <d v="2025-04-13T00:00:00"/>
    <x v="0"/>
    <s v="East"/>
    <x v="1"/>
    <s v="Social"/>
    <s v="Free"/>
    <n v="1"/>
    <n v="0"/>
    <n v="0"/>
    <n v="0"/>
    <n v="0"/>
    <x v="0"/>
    <n v="0"/>
    <m/>
    <n v="62.7"/>
    <x v="0"/>
  </r>
  <r>
    <s v="USR-100022"/>
    <d v="2025-05-07T00:00:00"/>
    <x v="0"/>
    <s v="North"/>
    <x v="0"/>
    <s v="Paid Search"/>
    <s v="Free"/>
    <n v="0"/>
    <n v="0"/>
    <n v="0"/>
    <n v="0"/>
    <n v="0"/>
    <x v="0"/>
    <n v="0"/>
    <m/>
    <n v="52.7"/>
    <x v="0"/>
  </r>
  <r>
    <s v="USR-100023"/>
    <d v="2025-05-25T00:00:00"/>
    <x v="0"/>
    <s v="North"/>
    <x v="0"/>
    <s v="Organic"/>
    <s v="Free"/>
    <n v="0"/>
    <n v="0"/>
    <n v="0"/>
    <n v="0"/>
    <n v="0"/>
    <x v="0"/>
    <n v="0"/>
    <m/>
    <n v="54"/>
    <x v="0"/>
  </r>
  <r>
    <s v="USR-100024"/>
    <d v="2025-04-01T00:00:00"/>
    <x v="0"/>
    <s v="East"/>
    <x v="1"/>
    <s v="Paid Search"/>
    <s v="Premium"/>
    <n v="1"/>
    <n v="1"/>
    <n v="0"/>
    <n v="0"/>
    <n v="0"/>
    <x v="0"/>
    <n v="0"/>
    <m/>
    <n v="51.6"/>
    <x v="0"/>
  </r>
  <r>
    <s v="USR-100025"/>
    <d v="2025-02-22T00:00:00"/>
    <x v="0"/>
    <s v="North"/>
    <x v="1"/>
    <s v="Paid Search"/>
    <s v="Premium"/>
    <n v="0"/>
    <n v="0"/>
    <n v="0"/>
    <n v="0"/>
    <n v="0"/>
    <x v="2"/>
    <n v="0"/>
    <m/>
    <n v="66.900000000000006"/>
    <x v="0"/>
  </r>
  <r>
    <s v="USR-100026"/>
    <d v="2025-03-24T00:00:00"/>
    <x v="0"/>
    <s v="East"/>
    <x v="1"/>
    <s v="Organic"/>
    <s v="Basic"/>
    <n v="0"/>
    <n v="0"/>
    <n v="0"/>
    <n v="0"/>
    <n v="0"/>
    <x v="0"/>
    <n v="0"/>
    <m/>
    <n v="67.400000000000006"/>
    <x v="0"/>
  </r>
  <r>
    <s v="USR-100027"/>
    <d v="2025-02-13T00:00:00"/>
    <x v="0"/>
    <s v="North"/>
    <x v="1"/>
    <s v="Organic"/>
    <s v="Free"/>
    <n v="0"/>
    <n v="0"/>
    <n v="0"/>
    <n v="0"/>
    <n v="0"/>
    <x v="0"/>
    <n v="0"/>
    <m/>
    <n v="58.8"/>
    <x v="0"/>
  </r>
  <r>
    <s v="USR-100028"/>
    <d v="2025-05-30T00:00:00"/>
    <x v="0"/>
    <s v="South"/>
    <x v="1"/>
    <s v="Organic"/>
    <s v="Free"/>
    <n v="1"/>
    <n v="0"/>
    <n v="0"/>
    <n v="0"/>
    <n v="0"/>
    <x v="0"/>
    <n v="0"/>
    <m/>
    <n v="73.8"/>
    <x v="0"/>
  </r>
  <r>
    <s v="USR-100029"/>
    <d v="2025-01-20T00:00:00"/>
    <x v="0"/>
    <s v="East"/>
    <x v="2"/>
    <s v="Organic"/>
    <s v="Basic"/>
    <n v="0"/>
    <n v="0"/>
    <n v="0"/>
    <n v="0"/>
    <n v="0"/>
    <x v="0"/>
    <n v="0"/>
    <m/>
    <n v="60.1"/>
    <x v="0"/>
  </r>
  <r>
    <s v="USR-100030"/>
    <d v="2025-05-19T00:00:00"/>
    <x v="0"/>
    <s v="East"/>
    <x v="1"/>
    <s v="Social"/>
    <s v="Basic"/>
    <n v="1"/>
    <n v="1"/>
    <n v="1"/>
    <n v="0"/>
    <n v="0"/>
    <x v="0"/>
    <n v="0"/>
    <m/>
    <n v="41"/>
    <x v="0"/>
  </r>
  <r>
    <s v="USR-100031"/>
    <d v="2025-02-18T00:00:00"/>
    <x v="0"/>
    <s v="South"/>
    <x v="1"/>
    <s v="Organic"/>
    <s v="Basic"/>
    <n v="1"/>
    <n v="0"/>
    <n v="0"/>
    <n v="0"/>
    <n v="0"/>
    <x v="0"/>
    <n v="0"/>
    <m/>
    <n v="80.3"/>
    <x v="0"/>
  </r>
  <r>
    <s v="USR-100032"/>
    <d v="2025-02-13T00:00:00"/>
    <x v="0"/>
    <s v="East"/>
    <x v="1"/>
    <s v="Organic"/>
    <s v="Free"/>
    <n v="0"/>
    <n v="0"/>
    <n v="0"/>
    <n v="0"/>
    <n v="0"/>
    <x v="0"/>
    <n v="0"/>
    <m/>
    <n v="67.599999999999994"/>
    <x v="0"/>
  </r>
  <r>
    <s v="USR-100033"/>
    <d v="2025-03-08T00:00:00"/>
    <x v="0"/>
    <s v="East"/>
    <x v="0"/>
    <s v="Referral"/>
    <s v="Premium"/>
    <n v="0"/>
    <n v="0"/>
    <n v="0"/>
    <n v="0"/>
    <n v="0"/>
    <x v="0"/>
    <n v="0"/>
    <m/>
    <n v="64"/>
    <x v="0"/>
  </r>
  <r>
    <s v="USR-100034"/>
    <d v="2025-01-11T00:00:00"/>
    <x v="0"/>
    <s v="North"/>
    <x v="1"/>
    <s v="Paid Search"/>
    <s v="Free"/>
    <n v="1"/>
    <n v="1"/>
    <n v="0"/>
    <n v="0"/>
    <n v="0"/>
    <x v="0"/>
    <n v="0"/>
    <m/>
    <n v="27.2"/>
    <x v="0"/>
  </r>
  <r>
    <s v="USR-100035"/>
    <d v="2025-02-12T00:00:00"/>
    <x v="0"/>
    <s v="North"/>
    <x v="0"/>
    <s v="Organic"/>
    <s v="Free"/>
    <n v="1"/>
    <n v="0"/>
    <n v="0"/>
    <n v="0"/>
    <n v="0"/>
    <x v="0"/>
    <n v="0"/>
    <m/>
    <n v="85.4"/>
    <x v="0"/>
  </r>
  <r>
    <s v="USR-100036"/>
    <d v="2025-04-13T00:00:00"/>
    <x v="0"/>
    <s v="East"/>
    <x v="0"/>
    <s v="Organic"/>
    <s v="Basic"/>
    <n v="1"/>
    <n v="0"/>
    <n v="0"/>
    <n v="0"/>
    <n v="0"/>
    <x v="0"/>
    <n v="0"/>
    <m/>
    <n v="75.900000000000006"/>
    <x v="0"/>
  </r>
  <r>
    <s v="USR-100037"/>
    <d v="2025-05-09T00:00:00"/>
    <x v="0"/>
    <s v="East"/>
    <x v="1"/>
    <s v="Organic"/>
    <s v="Premium"/>
    <n v="1"/>
    <n v="0"/>
    <n v="0"/>
    <n v="0"/>
    <n v="0"/>
    <x v="1"/>
    <n v="0"/>
    <m/>
    <n v="34.799999999999997"/>
    <x v="0"/>
  </r>
  <r>
    <s v="USR-100038"/>
    <d v="2025-01-20T00:00:00"/>
    <x v="0"/>
    <s v="East"/>
    <x v="1"/>
    <s v="Organic"/>
    <s v="Free"/>
    <n v="1"/>
    <n v="1"/>
    <n v="1"/>
    <n v="0"/>
    <n v="0"/>
    <x v="3"/>
    <n v="0"/>
    <m/>
    <n v="48.9"/>
    <x v="0"/>
  </r>
  <r>
    <s v="USR-100039"/>
    <d v="2025-05-13T00:00:00"/>
    <x v="0"/>
    <s v="East"/>
    <x v="1"/>
    <s v="Email"/>
    <s v="Premium"/>
    <n v="1"/>
    <n v="0"/>
    <n v="0"/>
    <n v="0"/>
    <n v="0"/>
    <x v="0"/>
    <n v="0"/>
    <m/>
    <n v="41.5"/>
    <x v="0"/>
  </r>
  <r>
    <s v="USR-100040"/>
    <d v="2025-04-07T00:00:00"/>
    <x v="0"/>
    <s v="North"/>
    <x v="0"/>
    <s v="Organic"/>
    <s v="Basic"/>
    <n v="1"/>
    <n v="0"/>
    <n v="0"/>
    <n v="0"/>
    <n v="0"/>
    <x v="0"/>
    <n v="0"/>
    <m/>
    <n v="51.5"/>
    <x v="0"/>
  </r>
  <r>
    <s v="USR-100041"/>
    <d v="2025-03-31T00:00:00"/>
    <x v="0"/>
    <s v="North"/>
    <x v="0"/>
    <s v="Organic"/>
    <s v="Free"/>
    <n v="0"/>
    <n v="0"/>
    <n v="0"/>
    <n v="0"/>
    <n v="0"/>
    <x v="0"/>
    <n v="0"/>
    <m/>
    <n v="53.2"/>
    <x v="0"/>
  </r>
  <r>
    <s v="USR-100042"/>
    <d v="2025-01-25T00:00:00"/>
    <x v="0"/>
    <s v="East"/>
    <x v="1"/>
    <s v="Email"/>
    <s v="Premium"/>
    <n v="0"/>
    <n v="0"/>
    <n v="0"/>
    <n v="0"/>
    <n v="0"/>
    <x v="0"/>
    <n v="0"/>
    <m/>
    <n v="55.6"/>
    <x v="0"/>
  </r>
  <r>
    <s v="USR-100043"/>
    <d v="2025-02-14T00:00:00"/>
    <x v="0"/>
    <s v="South"/>
    <x v="0"/>
    <s v="Organic"/>
    <s v="Free"/>
    <n v="0"/>
    <n v="0"/>
    <n v="0"/>
    <n v="0"/>
    <n v="0"/>
    <x v="0"/>
    <n v="0"/>
    <m/>
    <n v="73"/>
    <x v="0"/>
  </r>
  <r>
    <s v="USR-100044"/>
    <d v="2025-02-27T00:00:00"/>
    <x v="0"/>
    <s v="East"/>
    <x v="1"/>
    <s v="Email"/>
    <s v="Free"/>
    <n v="1"/>
    <n v="0"/>
    <n v="0"/>
    <n v="0"/>
    <n v="0"/>
    <x v="0"/>
    <n v="0"/>
    <m/>
    <n v="65"/>
    <x v="0"/>
  </r>
  <r>
    <s v="USR-100045"/>
    <d v="2025-03-28T00:00:00"/>
    <x v="0"/>
    <s v="East"/>
    <x v="1"/>
    <s v="Social"/>
    <s v="Free"/>
    <n v="1"/>
    <n v="0"/>
    <n v="0"/>
    <n v="0"/>
    <n v="0"/>
    <x v="4"/>
    <n v="0"/>
    <m/>
    <n v="56.3"/>
    <x v="0"/>
  </r>
  <r>
    <s v="USR-100046"/>
    <d v="2025-05-25T00:00:00"/>
    <x v="0"/>
    <s v="East"/>
    <x v="1"/>
    <s v="Referral"/>
    <s v="Premium"/>
    <n v="1"/>
    <n v="0"/>
    <n v="0"/>
    <n v="0"/>
    <n v="0"/>
    <x v="0"/>
    <n v="0"/>
    <m/>
    <n v="62.4"/>
    <x v="0"/>
  </r>
  <r>
    <s v="USR-100047"/>
    <d v="2025-05-05T00:00:00"/>
    <x v="0"/>
    <s v="West"/>
    <x v="0"/>
    <s v="Organic"/>
    <s v="Free"/>
    <n v="1"/>
    <n v="1"/>
    <n v="1"/>
    <n v="0"/>
    <n v="0"/>
    <x v="0"/>
    <n v="0"/>
    <m/>
    <n v="58.1"/>
    <x v="0"/>
  </r>
  <r>
    <s v="USR-100048"/>
    <d v="2025-05-16T00:00:00"/>
    <x v="0"/>
    <s v="North"/>
    <x v="1"/>
    <s v="Organic"/>
    <s v="Free"/>
    <n v="1"/>
    <n v="1"/>
    <n v="1"/>
    <n v="0"/>
    <n v="0"/>
    <x v="0"/>
    <n v="0"/>
    <m/>
    <n v="80.8"/>
    <x v="0"/>
  </r>
  <r>
    <s v="USR-100049"/>
    <d v="2025-01-08T00:00:00"/>
    <x v="0"/>
    <s v="North"/>
    <x v="1"/>
    <s v="Social"/>
    <s v="Free"/>
    <n v="1"/>
    <n v="1"/>
    <n v="0"/>
    <n v="0"/>
    <n v="0"/>
    <x v="0"/>
    <n v="0"/>
    <m/>
    <n v="42.9"/>
    <x v="0"/>
  </r>
  <r>
    <s v="USR-100050"/>
    <d v="2025-01-06T00:00:00"/>
    <x v="0"/>
    <s v="West"/>
    <x v="0"/>
    <s v="Paid Search"/>
    <s v="Free"/>
    <n v="1"/>
    <n v="0"/>
    <n v="0"/>
    <n v="0"/>
    <n v="0"/>
    <x v="0"/>
    <n v="0"/>
    <m/>
    <n v="52.7"/>
    <x v="0"/>
  </r>
  <r>
    <s v="USR-100051"/>
    <d v="2025-01-12T00:00:00"/>
    <x v="0"/>
    <s v="North"/>
    <x v="1"/>
    <s v="Social"/>
    <s v="Basic"/>
    <n v="0"/>
    <n v="0"/>
    <n v="0"/>
    <n v="0"/>
    <n v="0"/>
    <x v="0"/>
    <n v="0"/>
    <m/>
    <n v="46.9"/>
    <x v="0"/>
  </r>
  <r>
    <s v="USR-100052"/>
    <d v="2025-02-14T00:00:00"/>
    <x v="0"/>
    <s v="East"/>
    <x v="0"/>
    <s v="Email"/>
    <s v="Premium"/>
    <n v="1"/>
    <n v="0"/>
    <n v="0"/>
    <n v="0"/>
    <n v="0"/>
    <x v="0"/>
    <n v="0"/>
    <m/>
    <n v="63"/>
    <x v="0"/>
  </r>
  <r>
    <s v="USR-100053"/>
    <d v="2025-03-10T00:00:00"/>
    <x v="0"/>
    <s v="South"/>
    <x v="2"/>
    <s v="Organic"/>
    <s v="Free"/>
    <n v="0"/>
    <n v="0"/>
    <n v="0"/>
    <n v="0"/>
    <n v="0"/>
    <x v="0"/>
    <n v="0"/>
    <m/>
    <n v="53.6"/>
    <x v="0"/>
  </r>
  <r>
    <s v="USR-100054"/>
    <d v="2025-04-20T00:00:00"/>
    <x v="0"/>
    <s v="West"/>
    <x v="0"/>
    <s v="Organic"/>
    <s v="Basic"/>
    <n v="0"/>
    <n v="0"/>
    <n v="0"/>
    <n v="0"/>
    <n v="0"/>
    <x v="0"/>
    <n v="0"/>
    <m/>
    <n v="49.6"/>
    <x v="0"/>
  </r>
  <r>
    <s v="USR-100055"/>
    <d v="2025-02-19T00:00:00"/>
    <x v="0"/>
    <s v="South"/>
    <x v="1"/>
    <s v="Organic"/>
    <s v="Free"/>
    <n v="0"/>
    <n v="0"/>
    <n v="0"/>
    <n v="0"/>
    <n v="0"/>
    <x v="0"/>
    <n v="0"/>
    <m/>
    <n v="54"/>
    <x v="0"/>
  </r>
  <r>
    <s v="USR-100056"/>
    <d v="2025-05-17T00:00:00"/>
    <x v="0"/>
    <s v="South"/>
    <x v="1"/>
    <s v="Social"/>
    <s v="Basic"/>
    <n v="1"/>
    <n v="0"/>
    <n v="0"/>
    <n v="0"/>
    <n v="0"/>
    <x v="2"/>
    <n v="0"/>
    <m/>
    <n v="50"/>
    <x v="0"/>
  </r>
  <r>
    <s v="USR-100057"/>
    <d v="2025-04-01T00:00:00"/>
    <x v="0"/>
    <s v="East"/>
    <x v="1"/>
    <s v="Social"/>
    <s v="Basic"/>
    <n v="0"/>
    <n v="0"/>
    <n v="0"/>
    <n v="0"/>
    <n v="0"/>
    <x v="0"/>
    <n v="0"/>
    <m/>
    <n v="48.1"/>
    <x v="0"/>
  </r>
  <r>
    <s v="USR-100058"/>
    <d v="2025-02-04T00:00:00"/>
    <x v="0"/>
    <s v="North"/>
    <x v="0"/>
    <s v="Organic"/>
    <s v="Free"/>
    <n v="1"/>
    <n v="0"/>
    <n v="0"/>
    <n v="0"/>
    <n v="0"/>
    <x v="0"/>
    <n v="0"/>
    <m/>
    <n v="49.6"/>
    <x v="0"/>
  </r>
  <r>
    <s v="USR-100059"/>
    <d v="2025-04-14T00:00:00"/>
    <x v="0"/>
    <s v="North"/>
    <x v="1"/>
    <s v="Social"/>
    <s v="Free"/>
    <n v="0"/>
    <n v="0"/>
    <n v="0"/>
    <n v="0"/>
    <n v="0"/>
    <x v="2"/>
    <n v="0"/>
    <m/>
    <n v="48.9"/>
    <x v="0"/>
  </r>
  <r>
    <s v="USR-100060"/>
    <d v="2025-01-01T00:00:00"/>
    <x v="0"/>
    <s v="West"/>
    <x v="1"/>
    <s v="Social"/>
    <s v="Free"/>
    <n v="1"/>
    <n v="1"/>
    <n v="1"/>
    <n v="1"/>
    <n v="240.42"/>
    <x v="0"/>
    <n v="0"/>
    <n v="16"/>
    <n v="56.5"/>
    <x v="0"/>
  </r>
  <r>
    <s v="USR-100061"/>
    <d v="2025-04-02T00:00:00"/>
    <x v="0"/>
    <s v="South"/>
    <x v="1"/>
    <s v="Referral"/>
    <s v="Free"/>
    <n v="1"/>
    <n v="0"/>
    <n v="0"/>
    <n v="0"/>
    <n v="0"/>
    <x v="0"/>
    <n v="0"/>
    <m/>
    <n v="53.7"/>
    <x v="0"/>
  </r>
  <r>
    <s v="USR-100062"/>
    <d v="2025-03-29T00:00:00"/>
    <x v="0"/>
    <s v="North"/>
    <x v="1"/>
    <s v="Social"/>
    <s v="Premium"/>
    <n v="0"/>
    <n v="0"/>
    <n v="0"/>
    <n v="0"/>
    <n v="0"/>
    <x v="0"/>
    <n v="0"/>
    <m/>
    <n v="62.2"/>
    <x v="0"/>
  </r>
  <r>
    <s v="USR-100063"/>
    <d v="2025-05-15T00:00:00"/>
    <x v="0"/>
    <s v="South"/>
    <x v="0"/>
    <s v="Organic"/>
    <s v="Free"/>
    <n v="1"/>
    <n v="0"/>
    <n v="0"/>
    <n v="0"/>
    <n v="0"/>
    <x v="0"/>
    <n v="0"/>
    <m/>
    <n v="50.2"/>
    <x v="0"/>
  </r>
  <r>
    <s v="USR-100064"/>
    <d v="2025-04-11T00:00:00"/>
    <x v="0"/>
    <s v="North"/>
    <x v="1"/>
    <s v="Organic"/>
    <s v="Basic"/>
    <n v="1"/>
    <n v="0"/>
    <n v="0"/>
    <n v="0"/>
    <n v="0"/>
    <x v="0"/>
    <n v="0"/>
    <m/>
    <n v="74.3"/>
    <x v="0"/>
  </r>
  <r>
    <s v="USR-100065"/>
    <d v="2025-03-07T00:00:00"/>
    <x v="0"/>
    <s v="South"/>
    <x v="0"/>
    <s v="Paid Search"/>
    <s v="Free"/>
    <n v="1"/>
    <n v="0"/>
    <n v="0"/>
    <n v="0"/>
    <n v="0"/>
    <x v="0"/>
    <n v="0"/>
    <m/>
    <n v="58"/>
    <x v="0"/>
  </r>
  <r>
    <s v="USR-100066"/>
    <d v="2025-05-30T00:00:00"/>
    <x v="0"/>
    <s v="South"/>
    <x v="1"/>
    <s v="Organic"/>
    <s v="Free"/>
    <n v="0"/>
    <n v="0"/>
    <n v="0"/>
    <n v="0"/>
    <n v="0"/>
    <x v="0"/>
    <n v="0"/>
    <m/>
    <n v="46.7"/>
    <x v="0"/>
  </r>
  <r>
    <s v="USR-100067"/>
    <d v="2025-01-07T00:00:00"/>
    <x v="0"/>
    <s v="South"/>
    <x v="0"/>
    <s v="Organic"/>
    <s v="Premium"/>
    <n v="1"/>
    <n v="0"/>
    <n v="0"/>
    <n v="0"/>
    <n v="0"/>
    <x v="1"/>
    <n v="0"/>
    <m/>
    <n v="49.6"/>
    <x v="0"/>
  </r>
  <r>
    <s v="USR-100068"/>
    <d v="2025-05-08T00:00:00"/>
    <x v="0"/>
    <s v="West"/>
    <x v="1"/>
    <s v="Social"/>
    <s v="Free"/>
    <n v="0"/>
    <n v="0"/>
    <n v="0"/>
    <n v="0"/>
    <n v="0"/>
    <x v="0"/>
    <n v="0"/>
    <m/>
    <n v="60.4"/>
    <x v="0"/>
  </r>
  <r>
    <s v="USR-100069"/>
    <d v="2025-03-19T00:00:00"/>
    <x v="0"/>
    <s v="East"/>
    <x v="0"/>
    <s v="Email"/>
    <s v="Free"/>
    <n v="1"/>
    <n v="1"/>
    <n v="1"/>
    <n v="0"/>
    <n v="0"/>
    <x v="0"/>
    <n v="0"/>
    <m/>
    <n v="55.3"/>
    <x v="0"/>
  </r>
  <r>
    <s v="USR-100070"/>
    <d v="2025-05-16T00:00:00"/>
    <x v="0"/>
    <s v="North"/>
    <x v="0"/>
    <s v="Organic"/>
    <s v="Free"/>
    <n v="0"/>
    <n v="0"/>
    <n v="0"/>
    <n v="0"/>
    <n v="0"/>
    <x v="0"/>
    <n v="0"/>
    <m/>
    <n v="56.2"/>
    <x v="0"/>
  </r>
  <r>
    <s v="USR-100071"/>
    <d v="2025-03-08T00:00:00"/>
    <x v="0"/>
    <s v="West"/>
    <x v="1"/>
    <s v="Email"/>
    <s v="Free"/>
    <n v="0"/>
    <n v="0"/>
    <n v="0"/>
    <n v="0"/>
    <n v="0"/>
    <x v="0"/>
    <n v="0"/>
    <m/>
    <n v="29.4"/>
    <x v="0"/>
  </r>
  <r>
    <s v="USR-100072"/>
    <d v="2025-03-08T00:00:00"/>
    <x v="0"/>
    <s v="East"/>
    <x v="1"/>
    <s v="Email"/>
    <s v="Free"/>
    <n v="1"/>
    <n v="0"/>
    <n v="0"/>
    <n v="0"/>
    <n v="0"/>
    <x v="0"/>
    <n v="0"/>
    <m/>
    <n v="54.2"/>
    <x v="0"/>
  </r>
  <r>
    <s v="USR-100073"/>
    <d v="2025-01-14T00:00:00"/>
    <x v="0"/>
    <s v="East"/>
    <x v="0"/>
    <s v="Paid Search"/>
    <s v="Basic"/>
    <n v="0"/>
    <n v="0"/>
    <n v="0"/>
    <n v="0"/>
    <n v="0"/>
    <x v="0"/>
    <n v="0"/>
    <m/>
    <n v="46.4"/>
    <x v="0"/>
  </r>
  <r>
    <s v="USR-100074"/>
    <d v="2025-02-10T00:00:00"/>
    <x v="0"/>
    <s v="South"/>
    <x v="1"/>
    <s v="Paid Search"/>
    <s v="Basic"/>
    <n v="0"/>
    <n v="0"/>
    <n v="0"/>
    <n v="0"/>
    <n v="0"/>
    <x v="0"/>
    <n v="0"/>
    <m/>
    <n v="54.5"/>
    <x v="0"/>
  </r>
  <r>
    <s v="USR-100075"/>
    <d v="2025-03-17T00:00:00"/>
    <x v="0"/>
    <s v="North"/>
    <x v="1"/>
    <s v="Organic"/>
    <s v="Free"/>
    <n v="0"/>
    <n v="0"/>
    <n v="0"/>
    <n v="0"/>
    <n v="0"/>
    <x v="0"/>
    <n v="0"/>
    <m/>
    <n v="58.5"/>
    <x v="0"/>
  </r>
  <r>
    <s v="USR-100076"/>
    <d v="2025-01-09T00:00:00"/>
    <x v="0"/>
    <s v="South"/>
    <x v="1"/>
    <s v="Email"/>
    <s v="Free"/>
    <n v="0"/>
    <n v="0"/>
    <n v="0"/>
    <n v="0"/>
    <n v="0"/>
    <x v="0"/>
    <n v="0"/>
    <m/>
    <n v="75.900000000000006"/>
    <x v="0"/>
  </r>
  <r>
    <s v="USR-100077"/>
    <d v="2025-04-17T00:00:00"/>
    <x v="0"/>
    <s v="North"/>
    <x v="1"/>
    <s v="Referral"/>
    <s v="Free"/>
    <n v="0"/>
    <n v="0"/>
    <n v="0"/>
    <n v="0"/>
    <n v="0"/>
    <x v="1"/>
    <n v="0"/>
    <m/>
    <n v="84.9"/>
    <x v="0"/>
  </r>
  <r>
    <s v="USR-100078"/>
    <d v="2025-01-16T00:00:00"/>
    <x v="0"/>
    <s v="North"/>
    <x v="1"/>
    <s v="Organic"/>
    <s v="Free"/>
    <n v="0"/>
    <n v="0"/>
    <n v="0"/>
    <n v="0"/>
    <n v="0"/>
    <x v="2"/>
    <n v="0"/>
    <m/>
    <n v="48.4"/>
    <x v="0"/>
  </r>
  <r>
    <s v="USR-100079"/>
    <d v="2025-02-20T00:00:00"/>
    <x v="0"/>
    <s v="West"/>
    <x v="0"/>
    <s v="Organic"/>
    <s v="Free"/>
    <n v="1"/>
    <n v="1"/>
    <n v="1"/>
    <n v="1"/>
    <n v="457.51"/>
    <x v="0"/>
    <n v="0"/>
    <n v="7"/>
    <n v="38"/>
    <x v="0"/>
  </r>
  <r>
    <s v="USR-100080"/>
    <d v="2025-05-21T00:00:00"/>
    <x v="0"/>
    <s v="East"/>
    <x v="1"/>
    <s v="Social"/>
    <s v="Free"/>
    <n v="1"/>
    <n v="0"/>
    <n v="0"/>
    <n v="0"/>
    <n v="0"/>
    <x v="0"/>
    <n v="0"/>
    <m/>
    <n v="44.2"/>
    <x v="0"/>
  </r>
  <r>
    <s v="USR-100081"/>
    <d v="2025-05-08T00:00:00"/>
    <x v="0"/>
    <s v="South"/>
    <x v="1"/>
    <s v="Organic"/>
    <s v="Free"/>
    <n v="1"/>
    <n v="1"/>
    <n v="1"/>
    <n v="0"/>
    <n v="0"/>
    <x v="0"/>
    <n v="0"/>
    <m/>
    <n v="81.2"/>
    <x v="0"/>
  </r>
  <r>
    <s v="USR-100082"/>
    <d v="2025-03-08T00:00:00"/>
    <x v="0"/>
    <s v="South"/>
    <x v="1"/>
    <s v="Referral"/>
    <s v="Free"/>
    <n v="1"/>
    <n v="1"/>
    <n v="0"/>
    <n v="0"/>
    <n v="0"/>
    <x v="0"/>
    <n v="0"/>
    <m/>
    <n v="63.8"/>
    <x v="0"/>
  </r>
  <r>
    <s v="USR-100083"/>
    <d v="2025-04-01T00:00:00"/>
    <x v="0"/>
    <s v="South"/>
    <x v="0"/>
    <s v="Email"/>
    <s v="Free"/>
    <n v="0"/>
    <n v="0"/>
    <n v="0"/>
    <n v="0"/>
    <n v="0"/>
    <x v="0"/>
    <n v="0"/>
    <m/>
    <n v="64.7"/>
    <x v="0"/>
  </r>
  <r>
    <s v="USR-100084"/>
    <d v="2025-03-03T00:00:00"/>
    <x v="0"/>
    <s v="West"/>
    <x v="1"/>
    <s v="Social"/>
    <s v="Basic"/>
    <n v="0"/>
    <n v="0"/>
    <n v="0"/>
    <n v="0"/>
    <n v="0"/>
    <x v="0"/>
    <n v="0"/>
    <m/>
    <n v="60.4"/>
    <x v="0"/>
  </r>
  <r>
    <s v="USR-100085"/>
    <d v="2025-04-16T00:00:00"/>
    <x v="0"/>
    <s v="South"/>
    <x v="1"/>
    <s v="Paid Search"/>
    <s v="Free"/>
    <n v="0"/>
    <n v="0"/>
    <n v="0"/>
    <n v="0"/>
    <n v="0"/>
    <x v="0"/>
    <n v="0"/>
    <m/>
    <n v="66.599999999999994"/>
    <x v="0"/>
  </r>
  <r>
    <s v="USR-100086"/>
    <d v="2025-01-09T00:00:00"/>
    <x v="0"/>
    <s v="North"/>
    <x v="0"/>
    <s v="Organic"/>
    <s v="Free"/>
    <n v="1"/>
    <n v="0"/>
    <n v="0"/>
    <n v="0"/>
    <n v="0"/>
    <x v="0"/>
    <n v="0"/>
    <m/>
    <n v="50.9"/>
    <x v="0"/>
  </r>
  <r>
    <s v="USR-100087"/>
    <d v="2025-01-22T00:00:00"/>
    <x v="0"/>
    <s v="West"/>
    <x v="0"/>
    <s v="Social"/>
    <s v="Basic"/>
    <n v="0"/>
    <n v="0"/>
    <n v="0"/>
    <n v="0"/>
    <n v="0"/>
    <x v="0"/>
    <n v="0"/>
    <m/>
    <n v="51"/>
    <x v="0"/>
  </r>
  <r>
    <s v="USR-100088"/>
    <d v="2025-04-30T00:00:00"/>
    <x v="0"/>
    <s v="South"/>
    <x v="1"/>
    <s v="Email"/>
    <s v="Premium"/>
    <n v="0"/>
    <n v="0"/>
    <n v="0"/>
    <n v="0"/>
    <n v="0"/>
    <x v="0"/>
    <n v="0"/>
    <m/>
    <n v="65.8"/>
    <x v="0"/>
  </r>
  <r>
    <s v="USR-100089"/>
    <d v="2025-04-25T00:00:00"/>
    <x v="0"/>
    <s v="North"/>
    <x v="1"/>
    <s v="Referral"/>
    <s v="Basic"/>
    <n v="1"/>
    <n v="0"/>
    <n v="0"/>
    <n v="0"/>
    <n v="0"/>
    <x v="0"/>
    <n v="0"/>
    <m/>
    <n v="61.8"/>
    <x v="0"/>
  </r>
  <r>
    <s v="USR-100090"/>
    <d v="2025-02-01T00:00:00"/>
    <x v="0"/>
    <s v="North"/>
    <x v="1"/>
    <s v="Organic"/>
    <s v="Basic"/>
    <n v="1"/>
    <n v="0"/>
    <n v="0"/>
    <n v="0"/>
    <n v="0"/>
    <x v="0"/>
    <n v="0"/>
    <m/>
    <n v="54.5"/>
    <x v="0"/>
  </r>
  <r>
    <s v="USR-100091"/>
    <d v="2025-04-23T00:00:00"/>
    <x v="0"/>
    <s v="South"/>
    <x v="0"/>
    <s v="Organic"/>
    <s v="Free"/>
    <n v="1"/>
    <n v="0"/>
    <n v="0"/>
    <n v="0"/>
    <n v="0"/>
    <x v="0"/>
    <n v="0"/>
    <m/>
    <n v="72.2"/>
    <x v="0"/>
  </r>
  <r>
    <s v="USR-100092"/>
    <d v="2025-02-27T00:00:00"/>
    <x v="0"/>
    <s v="South"/>
    <x v="1"/>
    <s v="Social"/>
    <s v="Free"/>
    <n v="1"/>
    <n v="0"/>
    <n v="0"/>
    <n v="0"/>
    <n v="0"/>
    <x v="0"/>
    <n v="0"/>
    <m/>
    <n v="42.3"/>
    <x v="0"/>
  </r>
  <r>
    <s v="USR-100093"/>
    <d v="2025-04-09T00:00:00"/>
    <x v="0"/>
    <s v="East"/>
    <x v="0"/>
    <s v="Organic"/>
    <s v="Basic"/>
    <n v="1"/>
    <n v="0"/>
    <n v="0"/>
    <n v="0"/>
    <n v="0"/>
    <x v="0"/>
    <n v="0"/>
    <m/>
    <n v="76.2"/>
    <x v="0"/>
  </r>
  <r>
    <s v="USR-100094"/>
    <d v="2025-05-13T00:00:00"/>
    <x v="0"/>
    <s v="South"/>
    <x v="2"/>
    <s v="Organic"/>
    <s v="Premium"/>
    <n v="1"/>
    <n v="1"/>
    <n v="1"/>
    <n v="0"/>
    <n v="0"/>
    <x v="1"/>
    <n v="0"/>
    <m/>
    <n v="37.4"/>
    <x v="0"/>
  </r>
  <r>
    <s v="USR-100095"/>
    <d v="2025-04-13T00:00:00"/>
    <x v="0"/>
    <s v="East"/>
    <x v="1"/>
    <s v="Organic"/>
    <s v="Free"/>
    <n v="0"/>
    <n v="0"/>
    <n v="0"/>
    <n v="0"/>
    <n v="0"/>
    <x v="0"/>
    <n v="0"/>
    <m/>
    <n v="84.2"/>
    <x v="0"/>
  </r>
  <r>
    <s v="USR-100096"/>
    <d v="2025-02-05T00:00:00"/>
    <x v="0"/>
    <s v="East"/>
    <x v="1"/>
    <s v="Social"/>
    <s v="Free"/>
    <n v="0"/>
    <n v="0"/>
    <n v="0"/>
    <n v="0"/>
    <n v="0"/>
    <x v="0"/>
    <n v="0"/>
    <m/>
    <n v="68"/>
    <x v="0"/>
  </r>
  <r>
    <s v="USR-100097"/>
    <d v="2025-02-14T00:00:00"/>
    <x v="0"/>
    <s v="West"/>
    <x v="1"/>
    <s v="Organic"/>
    <s v="Basic"/>
    <n v="1"/>
    <n v="0"/>
    <n v="0"/>
    <n v="0"/>
    <n v="0"/>
    <x v="0"/>
    <n v="0"/>
    <m/>
    <n v="53.5"/>
    <x v="0"/>
  </r>
  <r>
    <s v="USR-100098"/>
    <d v="2025-02-11T00:00:00"/>
    <x v="0"/>
    <s v="North"/>
    <x v="0"/>
    <s v="Organic"/>
    <s v="Premium"/>
    <n v="1"/>
    <n v="0"/>
    <n v="0"/>
    <n v="0"/>
    <n v="0"/>
    <x v="0"/>
    <n v="0"/>
    <m/>
    <n v="63.2"/>
    <x v="0"/>
  </r>
  <r>
    <s v="USR-100099"/>
    <d v="2025-02-11T00:00:00"/>
    <x v="0"/>
    <s v="East"/>
    <x v="0"/>
    <s v="Social"/>
    <s v="Free"/>
    <n v="1"/>
    <n v="1"/>
    <n v="1"/>
    <n v="1"/>
    <n v="363.32"/>
    <x v="0"/>
    <n v="0"/>
    <n v="9"/>
    <n v="55.9"/>
    <x v="0"/>
  </r>
  <r>
    <s v="USR-100100"/>
    <d v="2025-05-26T00:00:00"/>
    <x v="0"/>
    <s v="North"/>
    <x v="1"/>
    <s v="Organic"/>
    <s v="Free"/>
    <n v="1"/>
    <n v="0"/>
    <n v="0"/>
    <n v="0"/>
    <n v="0"/>
    <x v="0"/>
    <n v="0"/>
    <m/>
    <n v="63.5"/>
    <x v="0"/>
  </r>
  <r>
    <s v="USR-100101"/>
    <d v="2025-03-22T00:00:00"/>
    <x v="0"/>
    <s v="North"/>
    <x v="1"/>
    <s v="Paid Search"/>
    <s v="Basic"/>
    <n v="1"/>
    <n v="0"/>
    <n v="0"/>
    <n v="0"/>
    <n v="0"/>
    <x v="0"/>
    <n v="0"/>
    <m/>
    <n v="51.5"/>
    <x v="0"/>
  </r>
  <r>
    <s v="USR-100102"/>
    <d v="2025-04-08T00:00:00"/>
    <x v="0"/>
    <s v="West"/>
    <x v="1"/>
    <s v="Paid Search"/>
    <s v="Free"/>
    <n v="1"/>
    <n v="0"/>
    <n v="0"/>
    <n v="0"/>
    <n v="0"/>
    <x v="0"/>
    <n v="0"/>
    <m/>
    <n v="74.400000000000006"/>
    <x v="0"/>
  </r>
  <r>
    <s v="USR-100103"/>
    <d v="2025-04-14T00:00:00"/>
    <x v="0"/>
    <s v="North"/>
    <x v="0"/>
    <s v="Social"/>
    <s v="Free"/>
    <n v="1"/>
    <n v="1"/>
    <n v="1"/>
    <n v="1"/>
    <n v="3887.98"/>
    <x v="0"/>
    <n v="0"/>
    <n v="13"/>
    <n v="60.2"/>
    <x v="0"/>
  </r>
  <r>
    <s v="USR-100104"/>
    <d v="2025-03-27T00:00:00"/>
    <x v="0"/>
    <s v="South"/>
    <x v="1"/>
    <s v="Email"/>
    <s v="Free"/>
    <n v="1"/>
    <n v="0"/>
    <n v="0"/>
    <n v="0"/>
    <n v="0"/>
    <x v="1"/>
    <n v="0"/>
    <m/>
    <n v="67.2"/>
    <x v="0"/>
  </r>
  <r>
    <s v="USR-100105"/>
    <d v="2025-01-05T00:00:00"/>
    <x v="0"/>
    <s v="South"/>
    <x v="1"/>
    <s v="Social"/>
    <s v="Free"/>
    <n v="1"/>
    <n v="1"/>
    <n v="1"/>
    <n v="0"/>
    <n v="0"/>
    <x v="0"/>
    <n v="0"/>
    <m/>
    <n v="79.599999999999994"/>
    <x v="0"/>
  </r>
  <r>
    <s v="USR-100106"/>
    <d v="2025-01-25T00:00:00"/>
    <x v="0"/>
    <s v="South"/>
    <x v="1"/>
    <s v="Social"/>
    <s v="Basic"/>
    <n v="1"/>
    <n v="1"/>
    <n v="1"/>
    <n v="1"/>
    <n v="8610.7199999999993"/>
    <x v="0"/>
    <n v="0"/>
    <n v="6"/>
    <n v="61"/>
    <x v="0"/>
  </r>
  <r>
    <s v="USR-100107"/>
    <d v="2025-01-23T00:00:00"/>
    <x v="0"/>
    <s v="West"/>
    <x v="1"/>
    <s v="Email"/>
    <s v="Free"/>
    <n v="1"/>
    <n v="1"/>
    <n v="1"/>
    <n v="0"/>
    <n v="0"/>
    <x v="4"/>
    <n v="0"/>
    <m/>
    <n v="51.1"/>
    <x v="0"/>
  </r>
  <r>
    <s v="USR-100108"/>
    <d v="2025-05-25T00:00:00"/>
    <x v="0"/>
    <s v="East"/>
    <x v="0"/>
    <s v="Referral"/>
    <s v="Free"/>
    <n v="1"/>
    <n v="0"/>
    <n v="0"/>
    <n v="0"/>
    <n v="0"/>
    <x v="0"/>
    <n v="0"/>
    <m/>
    <n v="92.1"/>
    <x v="0"/>
  </r>
  <r>
    <s v="USR-100109"/>
    <d v="2025-03-22T00:00:00"/>
    <x v="0"/>
    <s v="South"/>
    <x v="1"/>
    <s v="Referral"/>
    <s v="Basic"/>
    <n v="0"/>
    <n v="0"/>
    <n v="0"/>
    <n v="0"/>
    <n v="0"/>
    <x v="0"/>
    <n v="0"/>
    <m/>
    <n v="82.1"/>
    <x v="0"/>
  </r>
  <r>
    <s v="USR-100110"/>
    <d v="2025-02-12T00:00:00"/>
    <x v="0"/>
    <s v="West"/>
    <x v="0"/>
    <s v="Paid Search"/>
    <s v="Basic"/>
    <n v="1"/>
    <n v="0"/>
    <n v="0"/>
    <n v="0"/>
    <n v="0"/>
    <x v="1"/>
    <n v="0"/>
    <m/>
    <n v="74"/>
    <x v="0"/>
  </r>
  <r>
    <s v="USR-100111"/>
    <d v="2025-04-28T00:00:00"/>
    <x v="0"/>
    <s v="West"/>
    <x v="0"/>
    <s v="Organic"/>
    <s v="Basic"/>
    <n v="1"/>
    <n v="0"/>
    <n v="0"/>
    <n v="0"/>
    <n v="0"/>
    <x v="0"/>
    <n v="0"/>
    <m/>
    <n v="63.4"/>
    <x v="0"/>
  </r>
  <r>
    <s v="USR-100112"/>
    <d v="2025-01-30T00:00:00"/>
    <x v="0"/>
    <s v="North"/>
    <x v="1"/>
    <s v="Organic"/>
    <s v="Basic"/>
    <n v="1"/>
    <n v="0"/>
    <n v="0"/>
    <n v="0"/>
    <n v="0"/>
    <x v="0"/>
    <n v="0"/>
    <m/>
    <n v="53.2"/>
    <x v="0"/>
  </r>
  <r>
    <s v="USR-100113"/>
    <d v="2025-05-19T00:00:00"/>
    <x v="0"/>
    <s v="East"/>
    <x v="2"/>
    <s v="Paid Search"/>
    <s v="Free"/>
    <n v="0"/>
    <n v="0"/>
    <n v="0"/>
    <n v="0"/>
    <n v="0"/>
    <x v="0"/>
    <n v="0"/>
    <m/>
    <n v="48.1"/>
    <x v="0"/>
  </r>
  <r>
    <s v="USR-100114"/>
    <d v="2025-01-23T00:00:00"/>
    <x v="0"/>
    <s v="South"/>
    <x v="1"/>
    <s v="Social"/>
    <s v="Free"/>
    <n v="1"/>
    <n v="1"/>
    <n v="0"/>
    <n v="0"/>
    <n v="0"/>
    <x v="0"/>
    <n v="0"/>
    <m/>
    <n v="61.5"/>
    <x v="0"/>
  </r>
  <r>
    <s v="USR-100115"/>
    <d v="2025-03-28T00:00:00"/>
    <x v="0"/>
    <s v="East"/>
    <x v="0"/>
    <s v="Social"/>
    <s v="Free"/>
    <n v="1"/>
    <n v="0"/>
    <n v="0"/>
    <n v="0"/>
    <n v="0"/>
    <x v="0"/>
    <n v="0"/>
    <m/>
    <n v="63.2"/>
    <x v="0"/>
  </r>
  <r>
    <s v="USR-100116"/>
    <d v="2025-01-11T00:00:00"/>
    <x v="0"/>
    <s v="West"/>
    <x v="1"/>
    <s v="Organic"/>
    <s v="Free"/>
    <n v="0"/>
    <n v="0"/>
    <n v="0"/>
    <n v="0"/>
    <n v="0"/>
    <x v="0"/>
    <n v="0"/>
    <m/>
    <n v="71.900000000000006"/>
    <x v="0"/>
  </r>
  <r>
    <s v="USR-100117"/>
    <d v="2025-04-11T00:00:00"/>
    <x v="0"/>
    <s v="North"/>
    <x v="1"/>
    <s v="Referral"/>
    <s v="Free"/>
    <n v="0"/>
    <n v="0"/>
    <n v="0"/>
    <n v="0"/>
    <n v="0"/>
    <x v="0"/>
    <n v="0"/>
    <m/>
    <n v="62.7"/>
    <x v="0"/>
  </r>
  <r>
    <s v="USR-100118"/>
    <d v="2025-01-02T00:00:00"/>
    <x v="0"/>
    <s v="West"/>
    <x v="1"/>
    <s v="Paid Search"/>
    <s v="Free"/>
    <n v="1"/>
    <n v="0"/>
    <n v="0"/>
    <n v="0"/>
    <n v="0"/>
    <x v="0"/>
    <n v="0"/>
    <m/>
    <n v="51.5"/>
    <x v="0"/>
  </r>
  <r>
    <s v="USR-100119"/>
    <d v="2025-03-18T00:00:00"/>
    <x v="0"/>
    <s v="East"/>
    <x v="1"/>
    <s v="Social"/>
    <s v="Free"/>
    <n v="1"/>
    <n v="1"/>
    <n v="1"/>
    <n v="0"/>
    <n v="0"/>
    <x v="0"/>
    <n v="0"/>
    <m/>
    <n v="39.1"/>
    <x v="0"/>
  </r>
  <r>
    <s v="USR-100120"/>
    <d v="2025-03-31T00:00:00"/>
    <x v="0"/>
    <s v="North"/>
    <x v="1"/>
    <s v="Email"/>
    <s v="Free"/>
    <n v="1"/>
    <n v="0"/>
    <n v="0"/>
    <n v="0"/>
    <n v="0"/>
    <x v="0"/>
    <n v="0"/>
    <m/>
    <n v="43.8"/>
    <x v="0"/>
  </r>
  <r>
    <s v="USR-100121"/>
    <d v="2025-01-06T00:00:00"/>
    <x v="0"/>
    <s v="North"/>
    <x v="1"/>
    <s v="Paid Search"/>
    <s v="Basic"/>
    <n v="1"/>
    <n v="0"/>
    <n v="0"/>
    <n v="0"/>
    <n v="0"/>
    <x v="0"/>
    <n v="0"/>
    <m/>
    <n v="59.9"/>
    <x v="0"/>
  </r>
  <r>
    <s v="USR-100122"/>
    <d v="2025-01-26T00:00:00"/>
    <x v="0"/>
    <s v="North"/>
    <x v="1"/>
    <s v="Referral"/>
    <s v="Free"/>
    <n v="1"/>
    <n v="1"/>
    <n v="0"/>
    <n v="0"/>
    <n v="0"/>
    <x v="0"/>
    <n v="0"/>
    <m/>
    <n v="71.400000000000006"/>
    <x v="0"/>
  </r>
  <r>
    <s v="USR-100123"/>
    <d v="2025-04-22T00:00:00"/>
    <x v="0"/>
    <s v="South"/>
    <x v="1"/>
    <s v="Referral"/>
    <s v="Basic"/>
    <n v="0"/>
    <n v="0"/>
    <n v="0"/>
    <n v="0"/>
    <n v="0"/>
    <x v="0"/>
    <n v="0"/>
    <m/>
    <n v="36.1"/>
    <x v="0"/>
  </r>
  <r>
    <s v="USR-100124"/>
    <d v="2025-05-30T00:00:00"/>
    <x v="0"/>
    <s v="West"/>
    <x v="3"/>
    <s v="Email"/>
    <s v="Basic"/>
    <n v="1"/>
    <n v="1"/>
    <n v="0"/>
    <n v="0"/>
    <n v="0"/>
    <x v="0"/>
    <n v="0"/>
    <m/>
    <n v="47.9"/>
    <x v="0"/>
  </r>
  <r>
    <s v="USR-100125"/>
    <d v="2025-05-18T00:00:00"/>
    <x v="0"/>
    <s v="West"/>
    <x v="0"/>
    <s v="Organic"/>
    <s v="Premium"/>
    <n v="1"/>
    <n v="0"/>
    <n v="0"/>
    <n v="0"/>
    <n v="0"/>
    <x v="0"/>
    <n v="0"/>
    <m/>
    <n v="62.5"/>
    <x v="0"/>
  </r>
  <r>
    <s v="USR-100126"/>
    <d v="2025-01-13T00:00:00"/>
    <x v="0"/>
    <s v="South"/>
    <x v="0"/>
    <s v="Paid Search"/>
    <s v="Premium"/>
    <n v="1"/>
    <n v="0"/>
    <n v="0"/>
    <n v="0"/>
    <n v="0"/>
    <x v="0"/>
    <n v="0"/>
    <m/>
    <n v="56.9"/>
    <x v="0"/>
  </r>
  <r>
    <s v="USR-100127"/>
    <d v="2025-03-25T00:00:00"/>
    <x v="0"/>
    <s v="North"/>
    <x v="0"/>
    <s v="Email"/>
    <s v="Free"/>
    <n v="0"/>
    <n v="0"/>
    <n v="0"/>
    <n v="0"/>
    <n v="0"/>
    <x v="0"/>
    <n v="0"/>
    <m/>
    <n v="64.7"/>
    <x v="0"/>
  </r>
  <r>
    <s v="USR-100128"/>
    <d v="2025-04-29T00:00:00"/>
    <x v="0"/>
    <s v="South"/>
    <x v="0"/>
    <s v="Organic"/>
    <s v="Free"/>
    <n v="1"/>
    <n v="1"/>
    <n v="1"/>
    <n v="0"/>
    <n v="0"/>
    <x v="0"/>
    <n v="0"/>
    <m/>
    <n v="64"/>
    <x v="0"/>
  </r>
  <r>
    <s v="USR-100129"/>
    <d v="2025-05-17T00:00:00"/>
    <x v="0"/>
    <s v="East"/>
    <x v="1"/>
    <s v="Referral"/>
    <s v="Basic"/>
    <n v="1"/>
    <n v="1"/>
    <n v="1"/>
    <n v="0"/>
    <n v="0"/>
    <x v="0"/>
    <n v="0"/>
    <m/>
    <n v="75.2"/>
    <x v="0"/>
  </r>
  <r>
    <s v="USR-100130"/>
    <d v="2025-01-02T00:00:00"/>
    <x v="0"/>
    <s v="North"/>
    <x v="1"/>
    <s v="Paid Search"/>
    <s v="Free"/>
    <n v="1"/>
    <n v="0"/>
    <n v="0"/>
    <n v="0"/>
    <n v="0"/>
    <x v="1"/>
    <n v="0"/>
    <m/>
    <n v="79"/>
    <x v="0"/>
  </r>
  <r>
    <s v="USR-100131"/>
    <d v="2025-02-03T00:00:00"/>
    <x v="0"/>
    <s v="South"/>
    <x v="1"/>
    <s v="Organic"/>
    <s v="Free"/>
    <n v="0"/>
    <n v="0"/>
    <n v="0"/>
    <n v="0"/>
    <n v="0"/>
    <x v="0"/>
    <n v="0"/>
    <m/>
    <n v="33"/>
    <x v="0"/>
  </r>
  <r>
    <s v="USR-100132"/>
    <d v="2025-03-04T00:00:00"/>
    <x v="0"/>
    <s v="East"/>
    <x v="1"/>
    <s v="Organic"/>
    <s v="Free"/>
    <n v="1"/>
    <n v="0"/>
    <n v="0"/>
    <n v="0"/>
    <n v="0"/>
    <x v="0"/>
    <n v="0"/>
    <m/>
    <n v="67.900000000000006"/>
    <x v="0"/>
  </r>
  <r>
    <s v="USR-100133"/>
    <d v="2025-01-26T00:00:00"/>
    <x v="0"/>
    <s v="South"/>
    <x v="1"/>
    <s v="Paid Search"/>
    <s v="Basic"/>
    <n v="0"/>
    <n v="0"/>
    <n v="0"/>
    <n v="0"/>
    <n v="0"/>
    <x v="0"/>
    <n v="0"/>
    <m/>
    <n v="42.2"/>
    <x v="0"/>
  </r>
  <r>
    <s v="USR-100134"/>
    <d v="2025-05-12T00:00:00"/>
    <x v="0"/>
    <s v="West"/>
    <x v="1"/>
    <s v="Paid Search"/>
    <s v="Basic"/>
    <n v="1"/>
    <n v="1"/>
    <n v="1"/>
    <n v="0"/>
    <n v="0"/>
    <x v="0"/>
    <n v="0"/>
    <m/>
    <n v="43.4"/>
    <x v="0"/>
  </r>
  <r>
    <s v="USR-100135"/>
    <d v="2025-03-06T00:00:00"/>
    <x v="0"/>
    <s v="North"/>
    <x v="1"/>
    <s v="Organic"/>
    <s v="Basic"/>
    <n v="0"/>
    <n v="0"/>
    <n v="0"/>
    <n v="0"/>
    <n v="0"/>
    <x v="0"/>
    <n v="0"/>
    <m/>
    <n v="54.4"/>
    <x v="0"/>
  </r>
  <r>
    <s v="USR-100136"/>
    <d v="2025-03-10T00:00:00"/>
    <x v="0"/>
    <s v="South"/>
    <x v="0"/>
    <s v="Email"/>
    <s v="Premium"/>
    <n v="0"/>
    <n v="0"/>
    <n v="0"/>
    <n v="0"/>
    <n v="0"/>
    <x v="0"/>
    <n v="0"/>
    <m/>
    <n v="45.7"/>
    <x v="0"/>
  </r>
  <r>
    <s v="USR-100137"/>
    <d v="2025-05-06T00:00:00"/>
    <x v="0"/>
    <s v="North"/>
    <x v="1"/>
    <s v="Paid Search"/>
    <s v="Free"/>
    <n v="0"/>
    <n v="0"/>
    <n v="0"/>
    <n v="0"/>
    <n v="0"/>
    <x v="3"/>
    <n v="0"/>
    <m/>
    <n v="32"/>
    <x v="0"/>
  </r>
  <r>
    <s v="USR-100138"/>
    <d v="2025-02-23T00:00:00"/>
    <x v="0"/>
    <s v="South"/>
    <x v="0"/>
    <s v="Paid Search"/>
    <s v="Free"/>
    <n v="1"/>
    <n v="0"/>
    <n v="0"/>
    <n v="0"/>
    <n v="0"/>
    <x v="0"/>
    <n v="0"/>
    <m/>
    <n v="70.900000000000006"/>
    <x v="0"/>
  </r>
  <r>
    <s v="USR-100139"/>
    <d v="2025-01-29T00:00:00"/>
    <x v="0"/>
    <s v="West"/>
    <x v="1"/>
    <s v="Social"/>
    <s v="Basic"/>
    <n v="1"/>
    <n v="1"/>
    <n v="1"/>
    <n v="0"/>
    <n v="0"/>
    <x v="0"/>
    <n v="0"/>
    <m/>
    <n v="59.1"/>
    <x v="0"/>
  </r>
  <r>
    <s v="USR-100140"/>
    <d v="2025-01-31T00:00:00"/>
    <x v="0"/>
    <s v="North"/>
    <x v="1"/>
    <s v="Organic"/>
    <s v="Basic"/>
    <n v="0"/>
    <n v="0"/>
    <n v="0"/>
    <n v="0"/>
    <n v="0"/>
    <x v="0"/>
    <n v="0"/>
    <m/>
    <n v="62.4"/>
    <x v="0"/>
  </r>
  <r>
    <s v="USR-100141"/>
    <d v="2025-01-19T00:00:00"/>
    <x v="0"/>
    <s v="South"/>
    <x v="1"/>
    <s v="Organic"/>
    <s v="Free"/>
    <n v="0"/>
    <n v="0"/>
    <n v="0"/>
    <n v="0"/>
    <n v="0"/>
    <x v="0"/>
    <n v="0"/>
    <m/>
    <n v="49.6"/>
    <x v="0"/>
  </r>
  <r>
    <s v="USR-100142"/>
    <d v="2025-04-03T00:00:00"/>
    <x v="0"/>
    <s v="West"/>
    <x v="0"/>
    <s v="Social"/>
    <s v="Free"/>
    <n v="1"/>
    <n v="1"/>
    <n v="1"/>
    <n v="1"/>
    <n v="404.4"/>
    <x v="0"/>
    <n v="0"/>
    <n v="9"/>
    <n v="80.599999999999994"/>
    <x v="0"/>
  </r>
  <r>
    <s v="USR-100143"/>
    <d v="2025-04-07T00:00:00"/>
    <x v="0"/>
    <s v="North"/>
    <x v="1"/>
    <s v="Paid Search"/>
    <s v="Free"/>
    <n v="1"/>
    <n v="0"/>
    <n v="0"/>
    <n v="0"/>
    <n v="0"/>
    <x v="0"/>
    <n v="0"/>
    <m/>
    <n v="47.9"/>
    <x v="0"/>
  </r>
  <r>
    <s v="USR-100144"/>
    <d v="2025-01-06T00:00:00"/>
    <x v="0"/>
    <s v="East"/>
    <x v="1"/>
    <s v="Paid Search"/>
    <s v="Basic"/>
    <n v="1"/>
    <n v="1"/>
    <n v="0"/>
    <n v="0"/>
    <n v="0"/>
    <x v="0"/>
    <n v="0"/>
    <m/>
    <n v="54.8"/>
    <x v="0"/>
  </r>
  <r>
    <s v="USR-100145"/>
    <d v="2025-04-11T00:00:00"/>
    <x v="0"/>
    <s v="East"/>
    <x v="1"/>
    <s v="Organic"/>
    <s v="Free"/>
    <n v="1"/>
    <n v="0"/>
    <n v="0"/>
    <n v="0"/>
    <n v="0"/>
    <x v="1"/>
    <n v="0"/>
    <m/>
    <n v="53.9"/>
    <x v="0"/>
  </r>
  <r>
    <s v="USR-100146"/>
    <d v="2025-04-23T00:00:00"/>
    <x v="0"/>
    <s v="East"/>
    <x v="1"/>
    <s v="Paid Search"/>
    <s v="Free"/>
    <n v="1"/>
    <n v="0"/>
    <n v="0"/>
    <n v="0"/>
    <n v="0"/>
    <x v="0"/>
    <n v="0"/>
    <m/>
    <n v="41.3"/>
    <x v="0"/>
  </r>
  <r>
    <s v="USR-100147"/>
    <d v="2025-03-25T00:00:00"/>
    <x v="0"/>
    <s v="West"/>
    <x v="1"/>
    <s v="Organic"/>
    <s v="Basic"/>
    <n v="1"/>
    <n v="1"/>
    <n v="0"/>
    <n v="0"/>
    <n v="0"/>
    <x v="0"/>
    <n v="0"/>
    <m/>
    <n v="38.9"/>
    <x v="0"/>
  </r>
  <r>
    <s v="USR-100148"/>
    <d v="2025-05-25T00:00:00"/>
    <x v="0"/>
    <s v="South"/>
    <x v="0"/>
    <s v="Organic"/>
    <s v="Basic"/>
    <n v="1"/>
    <n v="0"/>
    <n v="0"/>
    <n v="0"/>
    <n v="0"/>
    <x v="0"/>
    <n v="0"/>
    <m/>
    <n v="63.6"/>
    <x v="0"/>
  </r>
  <r>
    <s v="USR-100149"/>
    <d v="2025-01-28T00:00:00"/>
    <x v="0"/>
    <s v="North"/>
    <x v="1"/>
    <s v="Organic"/>
    <s v="Free"/>
    <n v="1"/>
    <n v="1"/>
    <n v="1"/>
    <n v="1"/>
    <n v="577.94000000000005"/>
    <x v="0"/>
    <n v="0"/>
    <n v="9"/>
    <n v="76.599999999999994"/>
    <x v="0"/>
  </r>
  <r>
    <s v="USR-100150"/>
    <d v="2025-02-12T00:00:00"/>
    <x v="0"/>
    <s v="West"/>
    <x v="1"/>
    <s v="Paid Search"/>
    <s v="Premium"/>
    <n v="0"/>
    <n v="0"/>
    <n v="0"/>
    <n v="0"/>
    <n v="0"/>
    <x v="1"/>
    <n v="0"/>
    <m/>
    <n v="67.599999999999994"/>
    <x v="0"/>
  </r>
  <r>
    <s v="USR-100151"/>
    <d v="2025-04-29T00:00:00"/>
    <x v="0"/>
    <s v="North"/>
    <x v="1"/>
    <s v="Social"/>
    <s v="Premium"/>
    <n v="1"/>
    <n v="0"/>
    <n v="0"/>
    <n v="0"/>
    <n v="0"/>
    <x v="0"/>
    <n v="0"/>
    <m/>
    <n v="43.1"/>
    <x v="0"/>
  </r>
  <r>
    <s v="USR-100152"/>
    <d v="2025-03-13T00:00:00"/>
    <x v="0"/>
    <s v="South"/>
    <x v="1"/>
    <s v="Email"/>
    <s v="Free"/>
    <n v="1"/>
    <n v="0"/>
    <n v="0"/>
    <n v="0"/>
    <n v="0"/>
    <x v="0"/>
    <n v="0"/>
    <m/>
    <n v="58.3"/>
    <x v="0"/>
  </r>
  <r>
    <s v="USR-100153"/>
    <d v="2025-02-04T00:00:00"/>
    <x v="0"/>
    <s v="East"/>
    <x v="0"/>
    <s v="Paid Search"/>
    <s v="Free"/>
    <n v="1"/>
    <n v="0"/>
    <n v="0"/>
    <n v="0"/>
    <n v="0"/>
    <x v="0"/>
    <n v="0"/>
    <m/>
    <n v="69.8"/>
    <x v="0"/>
  </r>
  <r>
    <s v="USR-100154"/>
    <d v="2025-03-04T00:00:00"/>
    <x v="0"/>
    <s v="South"/>
    <x v="1"/>
    <s v="Referral"/>
    <s v="Free"/>
    <n v="1"/>
    <n v="1"/>
    <n v="0"/>
    <n v="0"/>
    <n v="0"/>
    <x v="0"/>
    <n v="0"/>
    <m/>
    <m/>
    <x v="0"/>
  </r>
  <r>
    <s v="USR-100155"/>
    <d v="2025-02-04T00:00:00"/>
    <x v="0"/>
    <s v="West"/>
    <x v="1"/>
    <s v="Paid Search"/>
    <s v="Basic"/>
    <n v="1"/>
    <n v="1"/>
    <n v="0"/>
    <n v="0"/>
    <n v="0"/>
    <x v="0"/>
    <n v="0"/>
    <m/>
    <n v="41.9"/>
    <x v="0"/>
  </r>
  <r>
    <s v="USR-100156"/>
    <d v="2025-03-11T00:00:00"/>
    <x v="0"/>
    <s v="North"/>
    <x v="0"/>
    <s v="Organic"/>
    <s v="Free"/>
    <n v="0"/>
    <n v="0"/>
    <n v="0"/>
    <n v="0"/>
    <n v="0"/>
    <x v="0"/>
    <n v="0"/>
    <m/>
    <n v="33.1"/>
    <x v="0"/>
  </r>
  <r>
    <s v="USR-100157"/>
    <d v="2025-04-22T00:00:00"/>
    <x v="0"/>
    <s v="West"/>
    <x v="1"/>
    <s v="Organic"/>
    <s v="Free"/>
    <n v="0"/>
    <n v="0"/>
    <n v="0"/>
    <n v="0"/>
    <n v="0"/>
    <x v="0"/>
    <n v="0"/>
    <m/>
    <n v="58.6"/>
    <x v="0"/>
  </r>
  <r>
    <s v="USR-100158"/>
    <d v="2025-03-08T00:00:00"/>
    <x v="0"/>
    <s v="North"/>
    <x v="0"/>
    <s v="Paid Search"/>
    <s v="Free"/>
    <n v="0"/>
    <n v="0"/>
    <n v="0"/>
    <n v="0"/>
    <n v="0"/>
    <x v="0"/>
    <n v="0"/>
    <m/>
    <n v="55.7"/>
    <x v="0"/>
  </r>
  <r>
    <s v="USR-100159"/>
    <d v="2025-03-10T00:00:00"/>
    <x v="0"/>
    <s v="East"/>
    <x v="1"/>
    <s v="Organic"/>
    <s v="Free"/>
    <n v="0"/>
    <n v="0"/>
    <n v="0"/>
    <n v="0"/>
    <n v="0"/>
    <x v="2"/>
    <n v="0"/>
    <m/>
    <n v="64.900000000000006"/>
    <x v="0"/>
  </r>
  <r>
    <s v="USR-100160"/>
    <d v="2025-05-18T00:00:00"/>
    <x v="0"/>
    <s v="North"/>
    <x v="0"/>
    <s v="Paid Search"/>
    <s v="Basic"/>
    <n v="0"/>
    <n v="0"/>
    <n v="0"/>
    <n v="0"/>
    <n v="0"/>
    <x v="0"/>
    <n v="0"/>
    <m/>
    <n v="72.3"/>
    <x v="0"/>
  </r>
  <r>
    <s v="USR-100161"/>
    <d v="2025-05-14T00:00:00"/>
    <x v="0"/>
    <s v="North"/>
    <x v="1"/>
    <s v="Social"/>
    <s v="Basic"/>
    <n v="0"/>
    <n v="0"/>
    <n v="0"/>
    <n v="0"/>
    <n v="0"/>
    <x v="0"/>
    <n v="0"/>
    <m/>
    <n v="42.1"/>
    <x v="0"/>
  </r>
  <r>
    <s v="USR-100162"/>
    <d v="2025-02-01T00:00:00"/>
    <x v="0"/>
    <s v="North"/>
    <x v="1"/>
    <s v="Organic"/>
    <s v="Free"/>
    <n v="0"/>
    <n v="0"/>
    <n v="0"/>
    <n v="0"/>
    <n v="0"/>
    <x v="0"/>
    <n v="0"/>
    <m/>
    <m/>
    <x v="0"/>
  </r>
  <r>
    <s v="USR-100163"/>
    <d v="2025-04-11T00:00:00"/>
    <x v="0"/>
    <s v="South"/>
    <x v="1"/>
    <s v="Organic"/>
    <s v="Basic"/>
    <n v="0"/>
    <n v="0"/>
    <n v="0"/>
    <n v="0"/>
    <n v="0"/>
    <x v="1"/>
    <n v="0"/>
    <m/>
    <n v="64.8"/>
    <x v="0"/>
  </r>
  <r>
    <s v="USR-100164"/>
    <d v="2025-02-14T00:00:00"/>
    <x v="0"/>
    <s v="East"/>
    <x v="1"/>
    <s v="Organic"/>
    <s v="Free"/>
    <n v="0"/>
    <n v="0"/>
    <n v="0"/>
    <n v="0"/>
    <n v="0"/>
    <x v="0"/>
    <n v="0"/>
    <m/>
    <n v="72.099999999999994"/>
    <x v="0"/>
  </r>
  <r>
    <s v="USR-100165"/>
    <d v="2025-05-19T00:00:00"/>
    <x v="0"/>
    <s v="East"/>
    <x v="1"/>
    <s v="Social"/>
    <s v="Free"/>
    <n v="1"/>
    <n v="0"/>
    <n v="0"/>
    <n v="0"/>
    <n v="0"/>
    <x v="0"/>
    <n v="0"/>
    <m/>
    <n v="50.6"/>
    <x v="0"/>
  </r>
  <r>
    <s v="USR-100166"/>
    <d v="2025-04-26T00:00:00"/>
    <x v="0"/>
    <s v="North"/>
    <x v="0"/>
    <s v="Paid Search"/>
    <s v="Basic"/>
    <n v="1"/>
    <n v="1"/>
    <n v="1"/>
    <n v="1"/>
    <n v="1281.25"/>
    <x v="1"/>
    <n v="0"/>
    <n v="9"/>
    <n v="43.4"/>
    <x v="0"/>
  </r>
  <r>
    <s v="USR-100167"/>
    <d v="2025-04-06T00:00:00"/>
    <x v="0"/>
    <s v="South"/>
    <x v="1"/>
    <s v="Social"/>
    <s v="Free"/>
    <n v="1"/>
    <n v="0"/>
    <n v="0"/>
    <n v="0"/>
    <n v="0"/>
    <x v="0"/>
    <n v="0"/>
    <m/>
    <n v="59.7"/>
    <x v="0"/>
  </r>
  <r>
    <s v="USR-100168"/>
    <d v="2025-03-06T00:00:00"/>
    <x v="0"/>
    <s v="South"/>
    <x v="1"/>
    <s v="Paid Search"/>
    <s v="Free"/>
    <n v="1"/>
    <n v="0"/>
    <n v="0"/>
    <n v="0"/>
    <n v="0"/>
    <x v="1"/>
    <n v="0"/>
    <m/>
    <m/>
    <x v="0"/>
  </r>
  <r>
    <s v="USR-100169"/>
    <d v="2025-03-10T00:00:00"/>
    <x v="0"/>
    <s v="West"/>
    <x v="1"/>
    <s v="Social"/>
    <s v="Basic"/>
    <n v="0"/>
    <n v="0"/>
    <n v="0"/>
    <n v="0"/>
    <n v="0"/>
    <x v="0"/>
    <n v="0"/>
    <m/>
    <n v="54.5"/>
    <x v="0"/>
  </r>
  <r>
    <s v="USR-100170"/>
    <d v="2025-03-30T00:00:00"/>
    <x v="0"/>
    <s v="North"/>
    <x v="1"/>
    <s v="Organic"/>
    <s v="Free"/>
    <n v="1"/>
    <n v="0"/>
    <n v="0"/>
    <n v="0"/>
    <n v="0"/>
    <x v="0"/>
    <n v="0"/>
    <m/>
    <n v="71.099999999999994"/>
    <x v="0"/>
  </r>
  <r>
    <s v="USR-100171"/>
    <d v="2025-05-29T00:00:00"/>
    <x v="0"/>
    <s v="East"/>
    <x v="3"/>
    <s v="Paid Search"/>
    <s v="Free"/>
    <n v="1"/>
    <n v="1"/>
    <n v="1"/>
    <n v="0"/>
    <n v="0"/>
    <x v="0"/>
    <n v="0"/>
    <m/>
    <n v="44.4"/>
    <x v="0"/>
  </r>
  <r>
    <s v="USR-100172"/>
    <d v="2025-03-23T00:00:00"/>
    <x v="0"/>
    <s v="North"/>
    <x v="1"/>
    <s v="Organic"/>
    <s v="Free"/>
    <n v="1"/>
    <n v="0"/>
    <n v="0"/>
    <n v="0"/>
    <n v="0"/>
    <x v="0"/>
    <n v="0"/>
    <m/>
    <n v="61.7"/>
    <x v="0"/>
  </r>
  <r>
    <s v="USR-100173"/>
    <d v="2025-02-18T00:00:00"/>
    <x v="0"/>
    <s v="North"/>
    <x v="2"/>
    <s v="Organic"/>
    <s v="Basic"/>
    <n v="0"/>
    <n v="0"/>
    <n v="0"/>
    <n v="0"/>
    <n v="0"/>
    <x v="1"/>
    <n v="0"/>
    <m/>
    <n v="81.3"/>
    <x v="0"/>
  </r>
  <r>
    <s v="USR-100174"/>
    <d v="2025-01-26T00:00:00"/>
    <x v="0"/>
    <s v="North"/>
    <x v="0"/>
    <s v="Email"/>
    <s v="Free"/>
    <n v="1"/>
    <n v="0"/>
    <n v="0"/>
    <n v="0"/>
    <n v="0"/>
    <x v="2"/>
    <n v="0"/>
    <m/>
    <n v="28.7"/>
    <x v="0"/>
  </r>
  <r>
    <s v="USR-100175"/>
    <d v="2025-04-23T00:00:00"/>
    <x v="0"/>
    <s v="East"/>
    <x v="1"/>
    <s v="Social"/>
    <s v="Basic"/>
    <n v="0"/>
    <n v="0"/>
    <n v="0"/>
    <n v="0"/>
    <n v="0"/>
    <x v="0"/>
    <n v="0"/>
    <m/>
    <n v="53"/>
    <x v="0"/>
  </r>
  <r>
    <s v="USR-100176"/>
    <d v="2025-03-16T00:00:00"/>
    <x v="0"/>
    <s v="South"/>
    <x v="2"/>
    <s v="Referral"/>
    <s v="Basic"/>
    <n v="1"/>
    <n v="0"/>
    <n v="0"/>
    <n v="0"/>
    <n v="0"/>
    <x v="0"/>
    <n v="0"/>
    <m/>
    <n v="54.9"/>
    <x v="0"/>
  </r>
  <r>
    <s v="USR-100177"/>
    <d v="2025-04-29T00:00:00"/>
    <x v="0"/>
    <s v="West"/>
    <x v="1"/>
    <s v="Organic"/>
    <s v="Basic"/>
    <n v="1"/>
    <n v="0"/>
    <n v="0"/>
    <n v="0"/>
    <n v="0"/>
    <x v="0"/>
    <n v="0"/>
    <m/>
    <n v="58.2"/>
    <x v="0"/>
  </r>
  <r>
    <s v="USR-100178"/>
    <d v="2025-04-06T00:00:00"/>
    <x v="0"/>
    <s v="North"/>
    <x v="1"/>
    <s v="Organic"/>
    <s v="Free"/>
    <n v="0"/>
    <n v="0"/>
    <n v="0"/>
    <n v="0"/>
    <n v="0"/>
    <x v="0"/>
    <n v="0"/>
    <m/>
    <n v="80.599999999999994"/>
    <x v="0"/>
  </r>
  <r>
    <s v="USR-100179"/>
    <d v="2025-04-17T00:00:00"/>
    <x v="0"/>
    <s v="North"/>
    <x v="0"/>
    <s v="Referral"/>
    <s v="Premium"/>
    <n v="1"/>
    <n v="1"/>
    <n v="1"/>
    <n v="0"/>
    <n v="0"/>
    <x v="0"/>
    <n v="0"/>
    <m/>
    <n v="38.4"/>
    <x v="0"/>
  </r>
  <r>
    <s v="USR-100180"/>
    <d v="2025-04-03T00:00:00"/>
    <x v="0"/>
    <s v="South"/>
    <x v="1"/>
    <s v="Paid Search"/>
    <s v="Free"/>
    <n v="1"/>
    <n v="0"/>
    <n v="0"/>
    <n v="0"/>
    <n v="0"/>
    <x v="0"/>
    <n v="0"/>
    <m/>
    <n v="56.1"/>
    <x v="0"/>
  </r>
  <r>
    <s v="USR-100181"/>
    <d v="2025-04-25T00:00:00"/>
    <x v="0"/>
    <s v="West"/>
    <x v="1"/>
    <s v="Paid Search"/>
    <s v="Free"/>
    <n v="0"/>
    <n v="0"/>
    <n v="0"/>
    <n v="0"/>
    <n v="0"/>
    <x v="0"/>
    <n v="0"/>
    <m/>
    <n v="62.6"/>
    <x v="0"/>
  </r>
  <r>
    <s v="USR-100182"/>
    <d v="2025-04-30T00:00:00"/>
    <x v="0"/>
    <s v="South"/>
    <x v="1"/>
    <s v="Organic"/>
    <s v="Premium"/>
    <n v="0"/>
    <n v="0"/>
    <n v="0"/>
    <n v="0"/>
    <n v="0"/>
    <x v="0"/>
    <n v="0"/>
    <m/>
    <n v="36.299999999999997"/>
    <x v="0"/>
  </r>
  <r>
    <s v="USR-100183"/>
    <d v="2025-03-12T00:00:00"/>
    <x v="0"/>
    <s v="South"/>
    <x v="1"/>
    <s v="Paid Search"/>
    <s v="Free"/>
    <n v="1"/>
    <n v="0"/>
    <n v="0"/>
    <n v="0"/>
    <n v="0"/>
    <x v="0"/>
    <n v="0"/>
    <m/>
    <n v="52.1"/>
    <x v="0"/>
  </r>
  <r>
    <s v="USR-100184"/>
    <d v="2025-05-04T00:00:00"/>
    <x v="0"/>
    <s v="South"/>
    <x v="1"/>
    <s v="Organic"/>
    <s v="Free"/>
    <n v="1"/>
    <n v="0"/>
    <n v="0"/>
    <n v="0"/>
    <n v="0"/>
    <x v="0"/>
    <n v="0"/>
    <m/>
    <n v="45.1"/>
    <x v="0"/>
  </r>
  <r>
    <s v="USR-100185"/>
    <d v="2025-02-07T00:00:00"/>
    <x v="0"/>
    <s v="South"/>
    <x v="2"/>
    <s v="Paid Search"/>
    <s v="Premium"/>
    <n v="0"/>
    <n v="0"/>
    <n v="0"/>
    <n v="0"/>
    <n v="0"/>
    <x v="0"/>
    <n v="0"/>
    <m/>
    <n v="67.5"/>
    <x v="0"/>
  </r>
  <r>
    <s v="USR-100186"/>
    <d v="2025-04-28T00:00:00"/>
    <x v="0"/>
    <s v="East"/>
    <x v="2"/>
    <s v="Email"/>
    <s v="Basic"/>
    <n v="1"/>
    <n v="1"/>
    <n v="1"/>
    <n v="0"/>
    <n v="0"/>
    <x v="0"/>
    <n v="0"/>
    <m/>
    <n v="80"/>
    <x v="0"/>
  </r>
  <r>
    <s v="USR-100187"/>
    <d v="2025-05-15T00:00:00"/>
    <x v="0"/>
    <s v="East"/>
    <x v="0"/>
    <s v="Referral"/>
    <s v="Free"/>
    <n v="0"/>
    <n v="0"/>
    <n v="0"/>
    <n v="0"/>
    <n v="0"/>
    <x v="0"/>
    <n v="0"/>
    <m/>
    <n v="56.4"/>
    <x v="0"/>
  </r>
  <r>
    <s v="USR-100188"/>
    <d v="2025-01-18T00:00:00"/>
    <x v="0"/>
    <s v="West"/>
    <x v="1"/>
    <s v="Paid Search"/>
    <s v="Basic"/>
    <n v="0"/>
    <n v="0"/>
    <n v="0"/>
    <n v="0"/>
    <n v="0"/>
    <x v="0"/>
    <n v="0"/>
    <m/>
    <n v="55.4"/>
    <x v="0"/>
  </r>
  <r>
    <s v="USR-100189"/>
    <d v="2025-02-15T00:00:00"/>
    <x v="0"/>
    <s v="South"/>
    <x v="1"/>
    <s v="Social"/>
    <s v="Basic"/>
    <n v="1"/>
    <n v="0"/>
    <n v="0"/>
    <n v="0"/>
    <n v="0"/>
    <x v="0"/>
    <n v="0"/>
    <m/>
    <n v="67.900000000000006"/>
    <x v="0"/>
  </r>
  <r>
    <s v="USR-100190"/>
    <d v="2025-02-18T00:00:00"/>
    <x v="0"/>
    <s v="North"/>
    <x v="2"/>
    <s v="Email"/>
    <s v="Free"/>
    <n v="1"/>
    <n v="0"/>
    <n v="0"/>
    <n v="0"/>
    <n v="0"/>
    <x v="0"/>
    <n v="0"/>
    <m/>
    <n v="62.5"/>
    <x v="0"/>
  </r>
  <r>
    <s v="USR-100191"/>
    <d v="2025-01-30T00:00:00"/>
    <x v="0"/>
    <s v="South"/>
    <x v="0"/>
    <s v="Email"/>
    <s v="Basic"/>
    <n v="1"/>
    <n v="1"/>
    <n v="1"/>
    <n v="0"/>
    <n v="0"/>
    <x v="0"/>
    <n v="0"/>
    <m/>
    <n v="54.3"/>
    <x v="0"/>
  </r>
  <r>
    <s v="USR-100192"/>
    <d v="2025-02-09T00:00:00"/>
    <x v="0"/>
    <s v="South"/>
    <x v="0"/>
    <s v="Organic"/>
    <s v="Basic"/>
    <n v="1"/>
    <n v="0"/>
    <n v="0"/>
    <n v="0"/>
    <n v="0"/>
    <x v="0"/>
    <n v="0"/>
    <m/>
    <n v="37.5"/>
    <x v="0"/>
  </r>
  <r>
    <s v="USR-100193"/>
    <d v="2025-03-16T00:00:00"/>
    <x v="0"/>
    <s v="West"/>
    <x v="1"/>
    <s v="Paid Search"/>
    <s v="Basic"/>
    <n v="1"/>
    <n v="0"/>
    <n v="0"/>
    <n v="0"/>
    <n v="0"/>
    <x v="0"/>
    <n v="0"/>
    <m/>
    <n v="52.6"/>
    <x v="0"/>
  </r>
  <r>
    <s v="USR-100194"/>
    <d v="2025-05-19T00:00:00"/>
    <x v="0"/>
    <s v="North"/>
    <x v="1"/>
    <s v="Paid Search"/>
    <s v="Free"/>
    <n v="1"/>
    <n v="0"/>
    <n v="0"/>
    <n v="0"/>
    <n v="0"/>
    <x v="0"/>
    <n v="0"/>
    <m/>
    <n v="46.1"/>
    <x v="0"/>
  </r>
  <r>
    <s v="USR-100195"/>
    <d v="2025-05-16T00:00:00"/>
    <x v="0"/>
    <s v="South"/>
    <x v="0"/>
    <s v="Organic"/>
    <s v="Basic"/>
    <n v="1"/>
    <n v="0"/>
    <n v="0"/>
    <n v="0"/>
    <n v="0"/>
    <x v="0"/>
    <n v="0"/>
    <m/>
    <n v="54.7"/>
    <x v="0"/>
  </r>
  <r>
    <s v="USR-100196"/>
    <d v="2025-04-25T00:00:00"/>
    <x v="0"/>
    <s v="West"/>
    <x v="0"/>
    <s v="Referral"/>
    <s v="Basic"/>
    <n v="0"/>
    <n v="0"/>
    <n v="0"/>
    <n v="0"/>
    <n v="0"/>
    <x v="0"/>
    <n v="0"/>
    <m/>
    <n v="74.2"/>
    <x v="0"/>
  </r>
  <r>
    <s v="USR-100197"/>
    <d v="2025-02-27T00:00:00"/>
    <x v="0"/>
    <s v="North"/>
    <x v="1"/>
    <s v="Social"/>
    <s v="Basic"/>
    <n v="1"/>
    <n v="1"/>
    <n v="1"/>
    <n v="1"/>
    <n v="1052.8"/>
    <x v="2"/>
    <n v="0"/>
    <n v="6"/>
    <n v="64.7"/>
    <x v="0"/>
  </r>
  <r>
    <s v="USR-100198"/>
    <d v="2025-04-26T00:00:00"/>
    <x v="0"/>
    <s v="South"/>
    <x v="1"/>
    <s v="Paid Search"/>
    <s v="Basic"/>
    <n v="0"/>
    <n v="0"/>
    <n v="0"/>
    <n v="0"/>
    <n v="0"/>
    <x v="0"/>
    <n v="0"/>
    <m/>
    <n v="65.900000000000006"/>
    <x v="0"/>
  </r>
  <r>
    <s v="USR-100199"/>
    <d v="2025-05-14T00:00:00"/>
    <x v="0"/>
    <s v="North"/>
    <x v="1"/>
    <s v="Organic"/>
    <s v="Basic"/>
    <n v="1"/>
    <n v="0"/>
    <n v="0"/>
    <n v="0"/>
    <n v="0"/>
    <x v="0"/>
    <n v="0"/>
    <m/>
    <n v="64"/>
    <x v="0"/>
  </r>
  <r>
    <s v="USR-100200"/>
    <d v="2025-03-05T00:00:00"/>
    <x v="0"/>
    <s v="North"/>
    <x v="1"/>
    <s v="Organic"/>
    <s v="Premium"/>
    <n v="1"/>
    <n v="0"/>
    <n v="0"/>
    <n v="0"/>
    <n v="0"/>
    <x v="0"/>
    <n v="0"/>
    <m/>
    <n v="57.2"/>
    <x v="0"/>
  </r>
  <r>
    <s v="USR-100201"/>
    <d v="2025-04-02T00:00:00"/>
    <x v="0"/>
    <s v="West"/>
    <x v="0"/>
    <s v="Organic"/>
    <s v="Free"/>
    <n v="1"/>
    <n v="0"/>
    <n v="0"/>
    <n v="0"/>
    <n v="0"/>
    <x v="0"/>
    <n v="0"/>
    <m/>
    <n v="80.5"/>
    <x v="0"/>
  </r>
  <r>
    <s v="USR-100202"/>
    <d v="2025-05-14T00:00:00"/>
    <x v="0"/>
    <s v="South"/>
    <x v="2"/>
    <s v="Organic"/>
    <s v="Free"/>
    <n v="0"/>
    <n v="0"/>
    <n v="0"/>
    <n v="0"/>
    <n v="0"/>
    <x v="0"/>
    <n v="0"/>
    <m/>
    <n v="53.9"/>
    <x v="0"/>
  </r>
  <r>
    <s v="USR-100203"/>
    <d v="2025-05-21T00:00:00"/>
    <x v="0"/>
    <s v="North"/>
    <x v="1"/>
    <s v="Paid Search"/>
    <s v="Free"/>
    <n v="1"/>
    <n v="1"/>
    <n v="0"/>
    <n v="0"/>
    <n v="0"/>
    <x v="0"/>
    <n v="0"/>
    <m/>
    <n v="77.5"/>
    <x v="0"/>
  </r>
  <r>
    <s v="USR-100204"/>
    <d v="2025-01-27T00:00:00"/>
    <x v="0"/>
    <s v="East"/>
    <x v="1"/>
    <s v="Social"/>
    <s v="Basic"/>
    <n v="0"/>
    <n v="0"/>
    <n v="0"/>
    <n v="0"/>
    <n v="0"/>
    <x v="0"/>
    <n v="0"/>
    <m/>
    <n v="84.2"/>
    <x v="0"/>
  </r>
  <r>
    <s v="USR-100205"/>
    <d v="2025-05-22T00:00:00"/>
    <x v="0"/>
    <s v="West"/>
    <x v="0"/>
    <s v="Organic"/>
    <s v="Free"/>
    <n v="1"/>
    <n v="1"/>
    <n v="0"/>
    <n v="0"/>
    <n v="0"/>
    <x v="0"/>
    <n v="0"/>
    <m/>
    <n v="54.9"/>
    <x v="0"/>
  </r>
  <r>
    <s v="USR-100206"/>
    <d v="2025-05-19T00:00:00"/>
    <x v="0"/>
    <s v="South"/>
    <x v="1"/>
    <s v="Paid Search"/>
    <s v="Free"/>
    <n v="0"/>
    <n v="0"/>
    <n v="0"/>
    <n v="0"/>
    <n v="0"/>
    <x v="0"/>
    <n v="0"/>
    <m/>
    <n v="69.3"/>
    <x v="0"/>
  </r>
  <r>
    <s v="USR-100207"/>
    <d v="2025-01-14T00:00:00"/>
    <x v="0"/>
    <s v="South"/>
    <x v="0"/>
    <s v="Paid Search"/>
    <s v="Free"/>
    <n v="1"/>
    <n v="0"/>
    <n v="0"/>
    <n v="0"/>
    <n v="0"/>
    <x v="2"/>
    <n v="0"/>
    <m/>
    <n v="42.3"/>
    <x v="0"/>
  </r>
  <r>
    <s v="USR-100208"/>
    <d v="2025-01-21T00:00:00"/>
    <x v="0"/>
    <s v="North"/>
    <x v="0"/>
    <s v="Referral"/>
    <s v="Premium"/>
    <n v="1"/>
    <n v="0"/>
    <n v="0"/>
    <n v="0"/>
    <n v="0"/>
    <x v="1"/>
    <n v="0"/>
    <m/>
    <n v="69.599999999999994"/>
    <x v="0"/>
  </r>
  <r>
    <s v="USR-100209"/>
    <d v="2025-05-16T00:00:00"/>
    <x v="0"/>
    <s v="East"/>
    <x v="1"/>
    <s v="Organic"/>
    <s v="Free"/>
    <n v="0"/>
    <n v="0"/>
    <n v="0"/>
    <n v="0"/>
    <n v="0"/>
    <x v="0"/>
    <n v="0"/>
    <m/>
    <n v="40.700000000000003"/>
    <x v="0"/>
  </r>
  <r>
    <s v="USR-100210"/>
    <d v="2025-02-02T00:00:00"/>
    <x v="0"/>
    <s v="North"/>
    <x v="1"/>
    <s v="Email"/>
    <s v="Free"/>
    <n v="1"/>
    <n v="0"/>
    <n v="0"/>
    <n v="0"/>
    <n v="0"/>
    <x v="0"/>
    <n v="0"/>
    <m/>
    <n v="54"/>
    <x v="0"/>
  </r>
  <r>
    <s v="USR-100211"/>
    <d v="2025-03-23T00:00:00"/>
    <x v="0"/>
    <s v="East"/>
    <x v="3"/>
    <s v="Referral"/>
    <s v="Free"/>
    <n v="1"/>
    <n v="1"/>
    <n v="1"/>
    <n v="1"/>
    <n v="553.37"/>
    <x v="0"/>
    <n v="0"/>
    <n v="5"/>
    <n v="46.3"/>
    <x v="0"/>
  </r>
  <r>
    <s v="USR-100212"/>
    <d v="2025-01-24T00:00:00"/>
    <x v="0"/>
    <s v="East"/>
    <x v="1"/>
    <s v="Organic"/>
    <s v="Free"/>
    <n v="1"/>
    <n v="0"/>
    <n v="0"/>
    <n v="0"/>
    <n v="0"/>
    <x v="0"/>
    <n v="0"/>
    <m/>
    <n v="64.2"/>
    <x v="0"/>
  </r>
  <r>
    <s v="USR-100213"/>
    <d v="2025-04-12T00:00:00"/>
    <x v="0"/>
    <s v="North"/>
    <x v="0"/>
    <s v="Organic"/>
    <s v="Free"/>
    <n v="1"/>
    <n v="0"/>
    <n v="0"/>
    <n v="0"/>
    <n v="0"/>
    <x v="0"/>
    <n v="0"/>
    <m/>
    <n v="75.2"/>
    <x v="0"/>
  </r>
  <r>
    <s v="USR-100214"/>
    <d v="2025-02-18T00:00:00"/>
    <x v="0"/>
    <s v="East"/>
    <x v="0"/>
    <s v="Paid Search"/>
    <s v="Free"/>
    <n v="1"/>
    <n v="1"/>
    <n v="0"/>
    <n v="0"/>
    <n v="0"/>
    <x v="0"/>
    <n v="0"/>
    <m/>
    <n v="60.9"/>
    <x v="0"/>
  </r>
  <r>
    <s v="USR-100215"/>
    <d v="2025-05-28T00:00:00"/>
    <x v="0"/>
    <s v="South"/>
    <x v="1"/>
    <s v="Email"/>
    <s v="Basic"/>
    <n v="1"/>
    <n v="1"/>
    <n v="1"/>
    <n v="0"/>
    <n v="0"/>
    <x v="0"/>
    <n v="0"/>
    <m/>
    <n v="62.1"/>
    <x v="0"/>
  </r>
  <r>
    <s v="USR-100216"/>
    <d v="2025-04-18T00:00:00"/>
    <x v="0"/>
    <s v="South"/>
    <x v="1"/>
    <s v="Social"/>
    <s v="Basic"/>
    <n v="0"/>
    <n v="0"/>
    <n v="0"/>
    <n v="0"/>
    <n v="0"/>
    <x v="0"/>
    <n v="0"/>
    <m/>
    <n v="45.4"/>
    <x v="0"/>
  </r>
  <r>
    <s v="USR-100217"/>
    <d v="2025-03-27T00:00:00"/>
    <x v="0"/>
    <s v="North"/>
    <x v="1"/>
    <s v="Paid Search"/>
    <s v="Basic"/>
    <n v="1"/>
    <n v="0"/>
    <n v="0"/>
    <n v="0"/>
    <n v="0"/>
    <x v="0"/>
    <n v="0"/>
    <m/>
    <n v="53.3"/>
    <x v="0"/>
  </r>
  <r>
    <s v="USR-100218"/>
    <d v="2025-02-25T00:00:00"/>
    <x v="0"/>
    <s v="North"/>
    <x v="2"/>
    <s v="Social"/>
    <s v="Free"/>
    <n v="1"/>
    <n v="0"/>
    <n v="0"/>
    <n v="0"/>
    <n v="0"/>
    <x v="0"/>
    <n v="0"/>
    <m/>
    <m/>
    <x v="0"/>
  </r>
  <r>
    <s v="USR-100219"/>
    <d v="2025-02-19T00:00:00"/>
    <x v="0"/>
    <s v="East"/>
    <x v="1"/>
    <s v="Paid Search"/>
    <s v="Free"/>
    <n v="0"/>
    <n v="0"/>
    <n v="0"/>
    <n v="0"/>
    <n v="0"/>
    <x v="1"/>
    <n v="0"/>
    <m/>
    <n v="38.200000000000003"/>
    <x v="0"/>
  </r>
  <r>
    <s v="USR-100220"/>
    <d v="2025-04-11T00:00:00"/>
    <x v="0"/>
    <s v="West"/>
    <x v="1"/>
    <s v="Paid Search"/>
    <s v="Free"/>
    <n v="1"/>
    <n v="1"/>
    <n v="0"/>
    <n v="0"/>
    <n v="0"/>
    <x v="3"/>
    <n v="0"/>
    <m/>
    <n v="59"/>
    <x v="0"/>
  </r>
  <r>
    <s v="USR-100221"/>
    <d v="2025-01-22T00:00:00"/>
    <x v="0"/>
    <s v="East"/>
    <x v="2"/>
    <s v="Referral"/>
    <s v="Premium"/>
    <n v="1"/>
    <n v="1"/>
    <n v="1"/>
    <n v="0"/>
    <n v="0"/>
    <x v="0"/>
    <n v="0"/>
    <m/>
    <n v="80.599999999999994"/>
    <x v="0"/>
  </r>
  <r>
    <s v="USR-100222"/>
    <d v="2025-01-12T00:00:00"/>
    <x v="0"/>
    <s v="South"/>
    <x v="1"/>
    <s v="Social"/>
    <s v="Free"/>
    <n v="1"/>
    <n v="0"/>
    <n v="0"/>
    <n v="0"/>
    <n v="0"/>
    <x v="0"/>
    <n v="0"/>
    <m/>
    <n v="67"/>
    <x v="0"/>
  </r>
  <r>
    <s v="USR-100223"/>
    <d v="2025-02-17T00:00:00"/>
    <x v="0"/>
    <s v="West"/>
    <x v="1"/>
    <s v="Email"/>
    <s v="Free"/>
    <n v="1"/>
    <n v="0"/>
    <n v="0"/>
    <n v="0"/>
    <n v="0"/>
    <x v="1"/>
    <n v="0"/>
    <m/>
    <n v="72.099999999999994"/>
    <x v="0"/>
  </r>
  <r>
    <s v="USR-100224"/>
    <d v="2025-04-11T00:00:00"/>
    <x v="0"/>
    <s v="West"/>
    <x v="0"/>
    <s v="Organic"/>
    <s v="Free"/>
    <n v="0"/>
    <n v="0"/>
    <n v="0"/>
    <n v="0"/>
    <n v="0"/>
    <x v="0"/>
    <n v="0"/>
    <m/>
    <n v="74.099999999999994"/>
    <x v="0"/>
  </r>
  <r>
    <s v="USR-100225"/>
    <d v="2025-05-25T00:00:00"/>
    <x v="0"/>
    <s v="South"/>
    <x v="1"/>
    <s v="Referral"/>
    <s v="Premium"/>
    <n v="0"/>
    <n v="0"/>
    <n v="0"/>
    <n v="0"/>
    <n v="0"/>
    <x v="0"/>
    <n v="0"/>
    <m/>
    <n v="84.8"/>
    <x v="0"/>
  </r>
  <r>
    <s v="USR-100226"/>
    <d v="2025-03-12T00:00:00"/>
    <x v="0"/>
    <s v="South"/>
    <x v="1"/>
    <s v="Organic"/>
    <s v="Basic"/>
    <n v="1"/>
    <n v="0"/>
    <n v="0"/>
    <n v="0"/>
    <n v="0"/>
    <x v="0"/>
    <n v="0"/>
    <m/>
    <n v="33"/>
    <x v="0"/>
  </r>
  <r>
    <s v="USR-100227"/>
    <d v="2025-04-20T00:00:00"/>
    <x v="0"/>
    <s v="North"/>
    <x v="2"/>
    <s v="Email"/>
    <s v="Free"/>
    <n v="0"/>
    <n v="0"/>
    <n v="0"/>
    <n v="0"/>
    <n v="0"/>
    <x v="0"/>
    <n v="0"/>
    <m/>
    <n v="52.5"/>
    <x v="0"/>
  </r>
  <r>
    <s v="USR-100228"/>
    <d v="2025-02-23T00:00:00"/>
    <x v="0"/>
    <s v="North"/>
    <x v="2"/>
    <s v="Organic"/>
    <s v="Free"/>
    <n v="0"/>
    <n v="0"/>
    <n v="0"/>
    <n v="0"/>
    <n v="0"/>
    <x v="0"/>
    <n v="0"/>
    <m/>
    <n v="66.900000000000006"/>
    <x v="0"/>
  </r>
  <r>
    <s v="USR-100229"/>
    <d v="2025-01-24T00:00:00"/>
    <x v="0"/>
    <s v="North"/>
    <x v="1"/>
    <s v="Organic"/>
    <s v="Basic"/>
    <n v="1"/>
    <n v="1"/>
    <n v="1"/>
    <n v="0"/>
    <n v="0"/>
    <x v="1"/>
    <n v="0"/>
    <m/>
    <n v="32.700000000000003"/>
    <x v="0"/>
  </r>
  <r>
    <s v="USR-100230"/>
    <d v="2025-01-16T00:00:00"/>
    <x v="0"/>
    <s v="West"/>
    <x v="1"/>
    <s v="Organic"/>
    <s v="Premium"/>
    <n v="1"/>
    <n v="1"/>
    <n v="1"/>
    <n v="0"/>
    <n v="0"/>
    <x v="1"/>
    <n v="0"/>
    <m/>
    <n v="70.599999999999994"/>
    <x v="0"/>
  </r>
  <r>
    <s v="USR-100231"/>
    <d v="2025-02-17T00:00:00"/>
    <x v="0"/>
    <s v="North"/>
    <x v="1"/>
    <s v="Social"/>
    <s v="Free"/>
    <n v="0"/>
    <n v="0"/>
    <n v="0"/>
    <n v="0"/>
    <n v="0"/>
    <x v="0"/>
    <n v="0"/>
    <m/>
    <n v="69.400000000000006"/>
    <x v="0"/>
  </r>
  <r>
    <s v="USR-100232"/>
    <d v="2025-05-04T00:00:00"/>
    <x v="0"/>
    <s v="North"/>
    <x v="0"/>
    <s v="Organic"/>
    <s v="Basic"/>
    <n v="1"/>
    <n v="0"/>
    <n v="0"/>
    <n v="0"/>
    <n v="0"/>
    <x v="0"/>
    <n v="0"/>
    <m/>
    <n v="56.1"/>
    <x v="0"/>
  </r>
  <r>
    <s v="USR-100233"/>
    <d v="2025-01-12T00:00:00"/>
    <x v="0"/>
    <s v="West"/>
    <x v="1"/>
    <s v="Organic"/>
    <s v="Basic"/>
    <n v="0"/>
    <n v="0"/>
    <n v="0"/>
    <n v="0"/>
    <n v="0"/>
    <x v="0"/>
    <n v="0"/>
    <m/>
    <n v="55.8"/>
    <x v="0"/>
  </r>
  <r>
    <s v="USR-100234"/>
    <d v="2025-04-28T00:00:00"/>
    <x v="0"/>
    <s v="North"/>
    <x v="2"/>
    <s v="Organic"/>
    <s v="Free"/>
    <n v="0"/>
    <n v="0"/>
    <n v="0"/>
    <n v="0"/>
    <n v="0"/>
    <x v="0"/>
    <n v="0"/>
    <m/>
    <n v="49.3"/>
    <x v="0"/>
  </r>
  <r>
    <s v="USR-100235"/>
    <d v="2025-02-26T00:00:00"/>
    <x v="0"/>
    <s v="North"/>
    <x v="1"/>
    <s v="Organic"/>
    <s v="Free"/>
    <n v="0"/>
    <n v="0"/>
    <n v="0"/>
    <n v="0"/>
    <n v="0"/>
    <x v="0"/>
    <n v="0"/>
    <m/>
    <n v="71.8"/>
    <x v="0"/>
  </r>
  <r>
    <s v="USR-100236"/>
    <d v="2025-03-18T00:00:00"/>
    <x v="0"/>
    <s v="West"/>
    <x v="1"/>
    <s v="Social"/>
    <s v="Free"/>
    <n v="1"/>
    <n v="0"/>
    <n v="0"/>
    <n v="0"/>
    <n v="0"/>
    <x v="3"/>
    <n v="0"/>
    <m/>
    <n v="39.700000000000003"/>
    <x v="0"/>
  </r>
  <r>
    <s v="USR-100237"/>
    <d v="2025-03-01T00:00:00"/>
    <x v="0"/>
    <s v="South"/>
    <x v="0"/>
    <s v="Organic"/>
    <s v="Premium"/>
    <n v="1"/>
    <n v="0"/>
    <n v="0"/>
    <n v="0"/>
    <n v="0"/>
    <x v="0"/>
    <n v="0"/>
    <m/>
    <n v="45.4"/>
    <x v="0"/>
  </r>
  <r>
    <s v="USR-100238"/>
    <d v="2025-04-05T00:00:00"/>
    <x v="0"/>
    <s v="North"/>
    <x v="0"/>
    <s v="Social"/>
    <s v="Premium"/>
    <n v="1"/>
    <n v="0"/>
    <n v="0"/>
    <n v="0"/>
    <n v="0"/>
    <x v="0"/>
    <n v="0"/>
    <m/>
    <n v="69.900000000000006"/>
    <x v="0"/>
  </r>
  <r>
    <s v="USR-100239"/>
    <d v="2025-03-12T00:00:00"/>
    <x v="0"/>
    <s v="North"/>
    <x v="0"/>
    <s v="Social"/>
    <s v="Free"/>
    <n v="1"/>
    <n v="1"/>
    <n v="1"/>
    <n v="0"/>
    <n v="0"/>
    <x v="0"/>
    <n v="0"/>
    <m/>
    <n v="56.1"/>
    <x v="0"/>
  </r>
  <r>
    <s v="USR-100240"/>
    <d v="2025-03-15T00:00:00"/>
    <x v="0"/>
    <s v="West"/>
    <x v="1"/>
    <s v="Referral"/>
    <s v="Basic"/>
    <n v="1"/>
    <n v="1"/>
    <n v="0"/>
    <n v="0"/>
    <n v="0"/>
    <x v="0"/>
    <n v="0"/>
    <m/>
    <n v="45.9"/>
    <x v="0"/>
  </r>
  <r>
    <s v="USR-100241"/>
    <d v="2025-02-23T00:00:00"/>
    <x v="0"/>
    <s v="West"/>
    <x v="1"/>
    <s v="Email"/>
    <s v="Free"/>
    <n v="0"/>
    <n v="0"/>
    <n v="0"/>
    <n v="0"/>
    <n v="0"/>
    <x v="0"/>
    <n v="0"/>
    <m/>
    <n v="65.8"/>
    <x v="0"/>
  </r>
  <r>
    <s v="USR-100242"/>
    <d v="2025-04-22T00:00:00"/>
    <x v="0"/>
    <s v="North"/>
    <x v="1"/>
    <s v="Organic"/>
    <s v="Basic"/>
    <n v="1"/>
    <n v="0"/>
    <n v="0"/>
    <n v="0"/>
    <n v="0"/>
    <x v="0"/>
    <n v="0"/>
    <m/>
    <n v="48.2"/>
    <x v="0"/>
  </r>
  <r>
    <s v="USR-100243"/>
    <d v="2025-01-09T00:00:00"/>
    <x v="0"/>
    <s v="East"/>
    <x v="1"/>
    <s v="Organic"/>
    <s v="Basic"/>
    <n v="1"/>
    <n v="1"/>
    <n v="1"/>
    <n v="0"/>
    <n v="0"/>
    <x v="0"/>
    <n v="0"/>
    <m/>
    <n v="81.099999999999994"/>
    <x v="0"/>
  </r>
  <r>
    <s v="USR-100244"/>
    <d v="2025-03-05T00:00:00"/>
    <x v="0"/>
    <s v="East"/>
    <x v="2"/>
    <s v="Social"/>
    <s v="Premium"/>
    <n v="1"/>
    <n v="1"/>
    <n v="0"/>
    <n v="0"/>
    <n v="0"/>
    <x v="0"/>
    <n v="0"/>
    <m/>
    <n v="53.2"/>
    <x v="0"/>
  </r>
  <r>
    <s v="USR-100245"/>
    <d v="2025-01-28T00:00:00"/>
    <x v="0"/>
    <s v="North"/>
    <x v="1"/>
    <s v="Social"/>
    <s v="Free"/>
    <n v="1"/>
    <n v="1"/>
    <n v="1"/>
    <n v="0"/>
    <n v="0"/>
    <x v="0"/>
    <n v="0"/>
    <m/>
    <n v="57.7"/>
    <x v="0"/>
  </r>
  <r>
    <s v="USR-100246"/>
    <d v="2025-01-21T00:00:00"/>
    <x v="0"/>
    <s v="West"/>
    <x v="1"/>
    <s v="Paid Search"/>
    <s v="Premium"/>
    <n v="1"/>
    <n v="1"/>
    <n v="0"/>
    <n v="0"/>
    <n v="0"/>
    <x v="0"/>
    <n v="0"/>
    <m/>
    <n v="78.900000000000006"/>
    <x v="0"/>
  </r>
  <r>
    <s v="USR-100247"/>
    <d v="2025-03-14T00:00:00"/>
    <x v="0"/>
    <s v="South"/>
    <x v="1"/>
    <s v="Referral"/>
    <s v="Basic"/>
    <n v="0"/>
    <n v="0"/>
    <n v="0"/>
    <n v="0"/>
    <n v="0"/>
    <x v="0"/>
    <n v="0"/>
    <m/>
    <n v="55.7"/>
    <x v="0"/>
  </r>
  <r>
    <s v="USR-100248"/>
    <d v="2025-02-03T00:00:00"/>
    <x v="0"/>
    <s v="West"/>
    <x v="1"/>
    <s v="Paid Search"/>
    <s v="Free"/>
    <n v="0"/>
    <n v="0"/>
    <n v="0"/>
    <n v="0"/>
    <n v="0"/>
    <x v="0"/>
    <n v="0"/>
    <m/>
    <n v="52.3"/>
    <x v="0"/>
  </r>
  <r>
    <s v="USR-100249"/>
    <d v="2025-05-22T00:00:00"/>
    <x v="0"/>
    <s v="North"/>
    <x v="1"/>
    <s v="Social"/>
    <s v="Free"/>
    <n v="1"/>
    <n v="0"/>
    <n v="0"/>
    <n v="0"/>
    <n v="0"/>
    <x v="0"/>
    <n v="0"/>
    <m/>
    <n v="51.5"/>
    <x v="0"/>
  </r>
  <r>
    <s v="USR-100250"/>
    <d v="2025-04-25T00:00:00"/>
    <x v="0"/>
    <s v="North"/>
    <x v="0"/>
    <s v="Email"/>
    <s v="Free"/>
    <n v="1"/>
    <n v="0"/>
    <n v="0"/>
    <n v="0"/>
    <n v="0"/>
    <x v="0"/>
    <n v="0"/>
    <m/>
    <n v="70.8"/>
    <x v="0"/>
  </r>
  <r>
    <s v="USR-100251"/>
    <d v="2025-01-30T00:00:00"/>
    <x v="0"/>
    <s v="North"/>
    <x v="0"/>
    <s v="Email"/>
    <s v="Basic"/>
    <n v="1"/>
    <n v="1"/>
    <n v="1"/>
    <n v="1"/>
    <n v="1250.78"/>
    <x v="0"/>
    <n v="0"/>
    <n v="10"/>
    <n v="39"/>
    <x v="0"/>
  </r>
  <r>
    <s v="USR-100252"/>
    <d v="2025-05-23T00:00:00"/>
    <x v="0"/>
    <s v="West"/>
    <x v="1"/>
    <s v="Organic"/>
    <s v="Free"/>
    <n v="1"/>
    <n v="0"/>
    <n v="0"/>
    <n v="0"/>
    <n v="0"/>
    <x v="0"/>
    <n v="0"/>
    <m/>
    <n v="61.6"/>
    <x v="0"/>
  </r>
  <r>
    <s v="USR-100253"/>
    <d v="2025-02-14T00:00:00"/>
    <x v="0"/>
    <s v="East"/>
    <x v="0"/>
    <s v="Organic"/>
    <s v="Free"/>
    <n v="1"/>
    <n v="1"/>
    <n v="1"/>
    <n v="0"/>
    <n v="0"/>
    <x v="0"/>
    <n v="0"/>
    <m/>
    <n v="46.8"/>
    <x v="0"/>
  </r>
  <r>
    <s v="USR-100254"/>
    <d v="2025-03-05T00:00:00"/>
    <x v="0"/>
    <s v="North"/>
    <x v="1"/>
    <s v="Paid Search"/>
    <s v="Premium"/>
    <n v="0"/>
    <n v="0"/>
    <n v="0"/>
    <n v="0"/>
    <n v="0"/>
    <x v="1"/>
    <n v="0"/>
    <m/>
    <n v="58.5"/>
    <x v="0"/>
  </r>
  <r>
    <s v="USR-100255"/>
    <d v="2025-05-27T00:00:00"/>
    <x v="0"/>
    <s v="North"/>
    <x v="1"/>
    <s v="Paid Search"/>
    <s v="Basic"/>
    <n v="0"/>
    <n v="0"/>
    <n v="0"/>
    <n v="0"/>
    <n v="0"/>
    <x v="0"/>
    <n v="0"/>
    <m/>
    <n v="70.900000000000006"/>
    <x v="0"/>
  </r>
  <r>
    <s v="USR-100256"/>
    <d v="2025-01-07T00:00:00"/>
    <x v="0"/>
    <s v="South"/>
    <x v="1"/>
    <s v="Paid Search"/>
    <s v="Free"/>
    <n v="1"/>
    <n v="0"/>
    <n v="0"/>
    <n v="0"/>
    <n v="0"/>
    <x v="0"/>
    <n v="0"/>
    <m/>
    <n v="48.4"/>
    <x v="0"/>
  </r>
  <r>
    <s v="USR-100257"/>
    <d v="2025-04-21T00:00:00"/>
    <x v="0"/>
    <s v="North"/>
    <x v="1"/>
    <s v="Email"/>
    <s v="Free"/>
    <n v="1"/>
    <n v="0"/>
    <n v="0"/>
    <n v="0"/>
    <n v="0"/>
    <x v="0"/>
    <n v="0"/>
    <m/>
    <n v="58"/>
    <x v="0"/>
  </r>
  <r>
    <s v="USR-100258"/>
    <d v="2025-05-13T00:00:00"/>
    <x v="0"/>
    <s v="North"/>
    <x v="1"/>
    <s v="Paid Search"/>
    <s v="Free"/>
    <n v="0"/>
    <n v="0"/>
    <n v="0"/>
    <n v="0"/>
    <n v="0"/>
    <x v="0"/>
    <n v="0"/>
    <m/>
    <n v="61.6"/>
    <x v="0"/>
  </r>
  <r>
    <s v="USR-100259"/>
    <d v="2025-01-28T00:00:00"/>
    <x v="0"/>
    <s v="East"/>
    <x v="0"/>
    <s v="Organic"/>
    <s v="Free"/>
    <n v="1"/>
    <n v="0"/>
    <n v="0"/>
    <n v="0"/>
    <n v="0"/>
    <x v="0"/>
    <n v="0"/>
    <m/>
    <n v="43.2"/>
    <x v="0"/>
  </r>
  <r>
    <s v="USR-100260"/>
    <d v="2025-03-16T00:00:00"/>
    <x v="0"/>
    <s v="East"/>
    <x v="0"/>
    <s v="Paid Search"/>
    <s v="Basic"/>
    <n v="1"/>
    <n v="0"/>
    <n v="0"/>
    <n v="0"/>
    <n v="0"/>
    <x v="1"/>
    <n v="0"/>
    <m/>
    <n v="53.3"/>
    <x v="0"/>
  </r>
  <r>
    <s v="USR-100261"/>
    <d v="2025-04-10T00:00:00"/>
    <x v="0"/>
    <s v="East"/>
    <x v="0"/>
    <s v="Social"/>
    <s v="Basic"/>
    <n v="0"/>
    <n v="0"/>
    <n v="0"/>
    <n v="0"/>
    <n v="0"/>
    <x v="0"/>
    <n v="0"/>
    <m/>
    <n v="33.9"/>
    <x v="0"/>
  </r>
  <r>
    <s v="USR-100262"/>
    <d v="2025-03-15T00:00:00"/>
    <x v="0"/>
    <s v="East"/>
    <x v="0"/>
    <s v="Referral"/>
    <s v="Free"/>
    <n v="1"/>
    <n v="1"/>
    <n v="1"/>
    <n v="0"/>
    <n v="0"/>
    <x v="0"/>
    <n v="0"/>
    <m/>
    <n v="35.4"/>
    <x v="0"/>
  </r>
  <r>
    <s v="USR-100263"/>
    <d v="2025-04-07T00:00:00"/>
    <x v="0"/>
    <s v="West"/>
    <x v="0"/>
    <s v="Organic"/>
    <s v="Basic"/>
    <n v="1"/>
    <n v="0"/>
    <n v="0"/>
    <n v="0"/>
    <n v="0"/>
    <x v="0"/>
    <n v="0"/>
    <m/>
    <n v="45"/>
    <x v="0"/>
  </r>
  <r>
    <s v="USR-100264"/>
    <d v="2025-02-12T00:00:00"/>
    <x v="0"/>
    <s v="South"/>
    <x v="1"/>
    <s v="Organic"/>
    <s v="Free"/>
    <n v="1"/>
    <n v="1"/>
    <n v="0"/>
    <n v="0"/>
    <n v="0"/>
    <x v="0"/>
    <n v="0"/>
    <m/>
    <n v="86.5"/>
    <x v="0"/>
  </r>
  <r>
    <s v="USR-100265"/>
    <d v="2025-05-05T00:00:00"/>
    <x v="0"/>
    <s v="West"/>
    <x v="1"/>
    <s v="Social"/>
    <s v="Free"/>
    <n v="0"/>
    <n v="0"/>
    <n v="0"/>
    <n v="0"/>
    <n v="0"/>
    <x v="0"/>
    <n v="0"/>
    <m/>
    <n v="58.1"/>
    <x v="0"/>
  </r>
  <r>
    <s v="USR-100266"/>
    <d v="2025-03-11T00:00:00"/>
    <x v="0"/>
    <s v="West"/>
    <x v="1"/>
    <s v="Referral"/>
    <s v="Free"/>
    <n v="1"/>
    <n v="0"/>
    <n v="0"/>
    <n v="0"/>
    <n v="0"/>
    <x v="0"/>
    <n v="0"/>
    <m/>
    <n v="36.1"/>
    <x v="0"/>
  </r>
  <r>
    <s v="USR-100267"/>
    <d v="2025-02-10T00:00:00"/>
    <x v="0"/>
    <s v="East"/>
    <x v="1"/>
    <s v="Social"/>
    <s v="Free"/>
    <n v="0"/>
    <n v="0"/>
    <n v="0"/>
    <n v="0"/>
    <n v="0"/>
    <x v="0"/>
    <n v="0"/>
    <m/>
    <n v="62.8"/>
    <x v="0"/>
  </r>
  <r>
    <s v="USR-100268"/>
    <d v="2025-04-06T00:00:00"/>
    <x v="0"/>
    <s v="South"/>
    <x v="1"/>
    <s v="Organic"/>
    <s v="Free"/>
    <n v="0"/>
    <n v="0"/>
    <n v="0"/>
    <n v="0"/>
    <n v="0"/>
    <x v="0"/>
    <n v="0"/>
    <m/>
    <n v="54.2"/>
    <x v="0"/>
  </r>
  <r>
    <s v="USR-100269"/>
    <d v="2025-01-06T00:00:00"/>
    <x v="0"/>
    <s v="East"/>
    <x v="1"/>
    <s v="Referral"/>
    <s v="Free"/>
    <n v="0"/>
    <n v="0"/>
    <n v="0"/>
    <n v="0"/>
    <n v="0"/>
    <x v="0"/>
    <n v="0"/>
    <m/>
    <n v="50"/>
    <x v="0"/>
  </r>
  <r>
    <s v="USR-100270"/>
    <d v="2025-03-25T00:00:00"/>
    <x v="0"/>
    <s v="East"/>
    <x v="2"/>
    <s v="Paid Search"/>
    <s v="Basic"/>
    <n v="1"/>
    <n v="0"/>
    <n v="0"/>
    <n v="0"/>
    <n v="0"/>
    <x v="0"/>
    <n v="0"/>
    <m/>
    <n v="62"/>
    <x v="0"/>
  </r>
  <r>
    <s v="USR-100271"/>
    <d v="2025-02-13T00:00:00"/>
    <x v="0"/>
    <s v="East"/>
    <x v="0"/>
    <s v="Referral"/>
    <s v="Free"/>
    <n v="1"/>
    <n v="0"/>
    <n v="0"/>
    <n v="0"/>
    <n v="0"/>
    <x v="0"/>
    <n v="0"/>
    <m/>
    <n v="29.3"/>
    <x v="0"/>
  </r>
  <r>
    <s v="USR-100272"/>
    <d v="2025-03-17T00:00:00"/>
    <x v="0"/>
    <s v="West"/>
    <x v="0"/>
    <s v="Organic"/>
    <s v="Free"/>
    <n v="1"/>
    <n v="0"/>
    <n v="0"/>
    <n v="0"/>
    <n v="0"/>
    <x v="0"/>
    <n v="0"/>
    <m/>
    <n v="67.900000000000006"/>
    <x v="0"/>
  </r>
  <r>
    <s v="USR-100273"/>
    <d v="2025-05-10T00:00:00"/>
    <x v="0"/>
    <s v="North"/>
    <x v="1"/>
    <s v="Referral"/>
    <s v="Free"/>
    <n v="1"/>
    <n v="1"/>
    <n v="1"/>
    <n v="0"/>
    <n v="0"/>
    <x v="0"/>
    <n v="0"/>
    <m/>
    <n v="67.599999999999994"/>
    <x v="0"/>
  </r>
  <r>
    <s v="USR-100274"/>
    <d v="2025-05-07T00:00:00"/>
    <x v="0"/>
    <s v="South"/>
    <x v="1"/>
    <s v="Paid Search"/>
    <s v="Basic"/>
    <n v="0"/>
    <n v="0"/>
    <n v="0"/>
    <n v="0"/>
    <n v="0"/>
    <x v="0"/>
    <n v="0"/>
    <m/>
    <n v="67.400000000000006"/>
    <x v="0"/>
  </r>
  <r>
    <s v="USR-100275"/>
    <d v="2025-02-26T00:00:00"/>
    <x v="0"/>
    <s v="West"/>
    <x v="0"/>
    <s v="Paid Search"/>
    <s v="Premium"/>
    <n v="0"/>
    <n v="0"/>
    <n v="0"/>
    <n v="0"/>
    <n v="0"/>
    <x v="2"/>
    <n v="0"/>
    <m/>
    <n v="53"/>
    <x v="0"/>
  </r>
  <r>
    <s v="USR-100276"/>
    <d v="2025-05-11T00:00:00"/>
    <x v="0"/>
    <s v="North"/>
    <x v="1"/>
    <s v="Organic"/>
    <s v="Basic"/>
    <n v="0"/>
    <n v="0"/>
    <n v="0"/>
    <n v="0"/>
    <n v="0"/>
    <x v="0"/>
    <n v="0"/>
    <m/>
    <n v="65.5"/>
    <x v="0"/>
  </r>
  <r>
    <s v="USR-100277"/>
    <d v="2025-03-20T00:00:00"/>
    <x v="0"/>
    <s v="South"/>
    <x v="1"/>
    <s v="Organic"/>
    <s v="Basic"/>
    <n v="1"/>
    <n v="1"/>
    <n v="0"/>
    <n v="0"/>
    <n v="0"/>
    <x v="0"/>
    <n v="0"/>
    <m/>
    <n v="49.6"/>
    <x v="0"/>
  </r>
  <r>
    <s v="USR-100278"/>
    <d v="2025-01-19T00:00:00"/>
    <x v="0"/>
    <s v="North"/>
    <x v="1"/>
    <s v="Email"/>
    <s v="Free"/>
    <n v="1"/>
    <n v="1"/>
    <n v="0"/>
    <n v="0"/>
    <n v="0"/>
    <x v="0"/>
    <n v="0"/>
    <m/>
    <n v="74.5"/>
    <x v="0"/>
  </r>
  <r>
    <s v="USR-100279"/>
    <d v="2025-03-08T00:00:00"/>
    <x v="0"/>
    <s v="North"/>
    <x v="2"/>
    <s v="Paid Search"/>
    <s v="Premium"/>
    <n v="1"/>
    <n v="0"/>
    <n v="0"/>
    <n v="0"/>
    <n v="0"/>
    <x v="1"/>
    <n v="0"/>
    <m/>
    <n v="46.9"/>
    <x v="0"/>
  </r>
  <r>
    <s v="USR-100280"/>
    <d v="2025-04-25T00:00:00"/>
    <x v="0"/>
    <s v="North"/>
    <x v="1"/>
    <s v="Organic"/>
    <s v="Free"/>
    <n v="0"/>
    <n v="0"/>
    <n v="0"/>
    <n v="0"/>
    <n v="0"/>
    <x v="0"/>
    <n v="0"/>
    <m/>
    <n v="87.1"/>
    <x v="0"/>
  </r>
  <r>
    <s v="USR-100281"/>
    <d v="2025-04-04T00:00:00"/>
    <x v="0"/>
    <s v="North"/>
    <x v="0"/>
    <s v="Organic"/>
    <s v="Free"/>
    <n v="1"/>
    <n v="0"/>
    <n v="0"/>
    <n v="0"/>
    <n v="0"/>
    <x v="0"/>
    <n v="0"/>
    <m/>
    <n v="56"/>
    <x v="0"/>
  </r>
  <r>
    <s v="USR-100282"/>
    <d v="2025-05-01T00:00:00"/>
    <x v="0"/>
    <s v="East"/>
    <x v="1"/>
    <s v="Paid Search"/>
    <s v="Premium"/>
    <n v="1"/>
    <n v="0"/>
    <n v="0"/>
    <n v="0"/>
    <n v="0"/>
    <x v="1"/>
    <n v="0"/>
    <m/>
    <n v="61.7"/>
    <x v="0"/>
  </r>
  <r>
    <s v="USR-100283"/>
    <d v="2025-01-21T00:00:00"/>
    <x v="0"/>
    <s v="South"/>
    <x v="1"/>
    <s v="Social"/>
    <s v="Free"/>
    <n v="1"/>
    <n v="0"/>
    <n v="0"/>
    <n v="0"/>
    <n v="0"/>
    <x v="1"/>
    <n v="0"/>
    <m/>
    <n v="70.5"/>
    <x v="0"/>
  </r>
  <r>
    <s v="USR-100284"/>
    <d v="2025-02-10T00:00:00"/>
    <x v="0"/>
    <s v="North"/>
    <x v="0"/>
    <s v="Referral"/>
    <s v="Basic"/>
    <n v="1"/>
    <n v="0"/>
    <n v="0"/>
    <n v="0"/>
    <n v="0"/>
    <x v="0"/>
    <n v="0"/>
    <m/>
    <n v="33.4"/>
    <x v="0"/>
  </r>
  <r>
    <s v="USR-100285"/>
    <d v="2025-05-06T00:00:00"/>
    <x v="0"/>
    <s v="South"/>
    <x v="0"/>
    <s v="Organic"/>
    <s v="Free"/>
    <n v="1"/>
    <n v="0"/>
    <n v="0"/>
    <n v="0"/>
    <n v="0"/>
    <x v="0"/>
    <n v="0"/>
    <m/>
    <n v="57.5"/>
    <x v="0"/>
  </r>
  <r>
    <s v="USR-100286"/>
    <d v="2025-02-08T00:00:00"/>
    <x v="0"/>
    <s v="North"/>
    <x v="0"/>
    <s v="Paid Search"/>
    <s v="Basic"/>
    <n v="1"/>
    <n v="1"/>
    <n v="0"/>
    <n v="0"/>
    <n v="0"/>
    <x v="0"/>
    <n v="0"/>
    <m/>
    <n v="85.7"/>
    <x v="0"/>
  </r>
  <r>
    <s v="USR-100287"/>
    <d v="2025-05-31T00:00:00"/>
    <x v="0"/>
    <s v="East"/>
    <x v="1"/>
    <s v="Social"/>
    <s v="Free"/>
    <n v="1"/>
    <n v="0"/>
    <n v="0"/>
    <n v="0"/>
    <n v="0"/>
    <x v="0"/>
    <n v="0"/>
    <m/>
    <n v="41.9"/>
    <x v="0"/>
  </r>
  <r>
    <s v="USR-100288"/>
    <d v="2025-02-07T00:00:00"/>
    <x v="0"/>
    <s v="West"/>
    <x v="1"/>
    <s v="Email"/>
    <s v="Basic"/>
    <n v="1"/>
    <n v="0"/>
    <n v="0"/>
    <n v="0"/>
    <n v="0"/>
    <x v="0"/>
    <n v="0"/>
    <m/>
    <n v="70.2"/>
    <x v="0"/>
  </r>
  <r>
    <s v="USR-100289"/>
    <d v="2025-02-10T00:00:00"/>
    <x v="0"/>
    <s v="North"/>
    <x v="1"/>
    <s v="Social"/>
    <s v="Free"/>
    <n v="1"/>
    <n v="0"/>
    <n v="0"/>
    <n v="0"/>
    <n v="0"/>
    <x v="0"/>
    <n v="0"/>
    <m/>
    <n v="42.6"/>
    <x v="0"/>
  </r>
  <r>
    <s v="USR-100290"/>
    <d v="2025-01-31T00:00:00"/>
    <x v="0"/>
    <s v="West"/>
    <x v="1"/>
    <s v="Social"/>
    <s v="Basic"/>
    <n v="0"/>
    <n v="0"/>
    <n v="0"/>
    <n v="0"/>
    <n v="0"/>
    <x v="2"/>
    <n v="0"/>
    <m/>
    <n v="30.4"/>
    <x v="0"/>
  </r>
  <r>
    <s v="USR-100291"/>
    <d v="2025-03-16T00:00:00"/>
    <x v="0"/>
    <s v="East"/>
    <x v="1"/>
    <s v="Paid Search"/>
    <s v="Basic"/>
    <n v="1"/>
    <n v="0"/>
    <n v="0"/>
    <n v="0"/>
    <n v="0"/>
    <x v="0"/>
    <n v="0"/>
    <m/>
    <n v="63.7"/>
    <x v="0"/>
  </r>
  <r>
    <s v="USR-100292"/>
    <d v="2025-04-24T00:00:00"/>
    <x v="0"/>
    <s v="South"/>
    <x v="1"/>
    <s v="Social"/>
    <s v="Basic"/>
    <n v="0"/>
    <n v="0"/>
    <n v="0"/>
    <n v="0"/>
    <n v="0"/>
    <x v="0"/>
    <n v="0"/>
    <m/>
    <n v="42.7"/>
    <x v="0"/>
  </r>
  <r>
    <s v="USR-100293"/>
    <d v="2025-01-28T00:00:00"/>
    <x v="0"/>
    <s v="North"/>
    <x v="1"/>
    <s v="Organic"/>
    <s v="Free"/>
    <n v="0"/>
    <n v="0"/>
    <n v="0"/>
    <n v="0"/>
    <n v="0"/>
    <x v="0"/>
    <n v="0"/>
    <m/>
    <n v="74.3"/>
    <x v="0"/>
  </r>
  <r>
    <s v="USR-100294"/>
    <d v="2025-02-16T00:00:00"/>
    <x v="0"/>
    <s v="West"/>
    <x v="0"/>
    <s v="Email"/>
    <s v="Free"/>
    <n v="1"/>
    <n v="0"/>
    <n v="0"/>
    <n v="0"/>
    <n v="0"/>
    <x v="0"/>
    <n v="0"/>
    <m/>
    <n v="40.6"/>
    <x v="0"/>
  </r>
  <r>
    <s v="USR-100295"/>
    <d v="2025-03-23T00:00:00"/>
    <x v="0"/>
    <s v="East"/>
    <x v="1"/>
    <s v="Organic"/>
    <s v="Premium"/>
    <n v="0"/>
    <n v="0"/>
    <n v="0"/>
    <n v="0"/>
    <n v="0"/>
    <x v="0"/>
    <n v="0"/>
    <m/>
    <n v="67"/>
    <x v="0"/>
  </r>
  <r>
    <s v="USR-100296"/>
    <d v="2025-05-31T00:00:00"/>
    <x v="0"/>
    <s v="East"/>
    <x v="1"/>
    <s v="Paid Search"/>
    <s v="Premium"/>
    <n v="0"/>
    <n v="0"/>
    <n v="0"/>
    <n v="0"/>
    <n v="0"/>
    <x v="0"/>
    <n v="0"/>
    <m/>
    <n v="51"/>
    <x v="0"/>
  </r>
  <r>
    <s v="USR-100297"/>
    <d v="2025-04-13T00:00:00"/>
    <x v="0"/>
    <s v="West"/>
    <x v="1"/>
    <s v="Social"/>
    <s v="Basic"/>
    <n v="1"/>
    <n v="1"/>
    <n v="0"/>
    <n v="0"/>
    <n v="0"/>
    <x v="1"/>
    <n v="0"/>
    <m/>
    <n v="54.8"/>
    <x v="0"/>
  </r>
  <r>
    <s v="USR-100298"/>
    <d v="2025-05-14T00:00:00"/>
    <x v="0"/>
    <s v="North"/>
    <x v="2"/>
    <s v="Email"/>
    <s v="Basic"/>
    <n v="0"/>
    <n v="0"/>
    <n v="0"/>
    <n v="0"/>
    <n v="0"/>
    <x v="0"/>
    <n v="0"/>
    <m/>
    <n v="40.799999999999997"/>
    <x v="0"/>
  </r>
  <r>
    <s v="USR-100299"/>
    <d v="2025-02-19T00:00:00"/>
    <x v="0"/>
    <s v="East"/>
    <x v="1"/>
    <s v="Paid Search"/>
    <s v="Free"/>
    <n v="0"/>
    <n v="0"/>
    <n v="0"/>
    <n v="0"/>
    <n v="0"/>
    <x v="0"/>
    <n v="0"/>
    <m/>
    <n v="48.8"/>
    <x v="0"/>
  </r>
  <r>
    <s v="USR-100300"/>
    <d v="2025-01-24T00:00:00"/>
    <x v="0"/>
    <s v="South"/>
    <x v="1"/>
    <m/>
    <s v="Basic"/>
    <n v="1"/>
    <n v="1"/>
    <n v="1"/>
    <n v="1"/>
    <n v="1198.69"/>
    <x v="1"/>
    <n v="0"/>
    <n v="6"/>
    <n v="88.9"/>
    <x v="0"/>
  </r>
  <r>
    <s v="USR-100301"/>
    <d v="2025-05-09T00:00:00"/>
    <x v="0"/>
    <s v="North"/>
    <x v="1"/>
    <s v="Email"/>
    <s v="Basic"/>
    <n v="1"/>
    <n v="1"/>
    <n v="1"/>
    <n v="0"/>
    <n v="0"/>
    <x v="1"/>
    <n v="0"/>
    <m/>
    <n v="60.5"/>
    <x v="0"/>
  </r>
  <r>
    <s v="USR-100302"/>
    <d v="2025-02-11T00:00:00"/>
    <x v="0"/>
    <s v="North"/>
    <x v="1"/>
    <s v="Organic"/>
    <s v="Basic"/>
    <n v="1"/>
    <n v="0"/>
    <n v="0"/>
    <n v="0"/>
    <n v="0"/>
    <x v="0"/>
    <n v="0"/>
    <m/>
    <n v="63.6"/>
    <x v="0"/>
  </r>
  <r>
    <s v="USR-100303"/>
    <d v="2025-02-26T00:00:00"/>
    <x v="0"/>
    <s v="North"/>
    <x v="0"/>
    <s v="Organic"/>
    <s v="Basic"/>
    <n v="1"/>
    <n v="1"/>
    <n v="1"/>
    <n v="1"/>
    <n v="6788.95"/>
    <x v="0"/>
    <n v="0"/>
    <n v="17"/>
    <n v="58.4"/>
    <x v="0"/>
  </r>
  <r>
    <s v="USR-100304"/>
    <d v="2025-02-12T00:00:00"/>
    <x v="0"/>
    <s v="South"/>
    <x v="1"/>
    <s v="Social"/>
    <s v="Premium"/>
    <n v="0"/>
    <n v="0"/>
    <n v="0"/>
    <n v="0"/>
    <n v="0"/>
    <x v="0"/>
    <n v="0"/>
    <m/>
    <n v="52.7"/>
    <x v="0"/>
  </r>
  <r>
    <s v="USR-100305"/>
    <d v="2025-01-05T00:00:00"/>
    <x v="0"/>
    <s v="South"/>
    <x v="2"/>
    <s v="Social"/>
    <s v="Premium"/>
    <n v="1"/>
    <n v="1"/>
    <n v="1"/>
    <n v="0"/>
    <n v="0"/>
    <x v="2"/>
    <n v="0"/>
    <m/>
    <n v="48.9"/>
    <x v="0"/>
  </r>
  <r>
    <s v="USR-100306"/>
    <d v="2025-05-19T00:00:00"/>
    <x v="0"/>
    <s v="West"/>
    <x v="1"/>
    <s v="Organic"/>
    <s v="Premium"/>
    <n v="0"/>
    <n v="0"/>
    <n v="0"/>
    <n v="0"/>
    <n v="0"/>
    <x v="0"/>
    <n v="0"/>
    <m/>
    <n v="79.7"/>
    <x v="0"/>
  </r>
  <r>
    <s v="USR-100307"/>
    <d v="2025-02-02T00:00:00"/>
    <x v="0"/>
    <s v="North"/>
    <x v="1"/>
    <s v="Social"/>
    <s v="Free"/>
    <n v="1"/>
    <n v="0"/>
    <n v="0"/>
    <n v="0"/>
    <n v="0"/>
    <x v="0"/>
    <n v="0"/>
    <m/>
    <n v="44.9"/>
    <x v="0"/>
  </r>
  <r>
    <s v="USR-100308"/>
    <d v="2025-01-30T00:00:00"/>
    <x v="0"/>
    <s v="West"/>
    <x v="2"/>
    <s v="Paid Search"/>
    <s v="Free"/>
    <n v="1"/>
    <n v="1"/>
    <n v="1"/>
    <n v="1"/>
    <n v="409.39"/>
    <x v="0"/>
    <n v="0"/>
    <n v="10"/>
    <n v="38.799999999999997"/>
    <x v="0"/>
  </r>
  <r>
    <s v="USR-100309"/>
    <d v="2025-05-01T00:00:00"/>
    <x v="0"/>
    <s v="South"/>
    <x v="0"/>
    <s v="Email"/>
    <s v="Free"/>
    <n v="0"/>
    <n v="0"/>
    <n v="0"/>
    <n v="0"/>
    <n v="0"/>
    <x v="0"/>
    <n v="0"/>
    <m/>
    <n v="70"/>
    <x v="0"/>
  </r>
  <r>
    <s v="USR-100310"/>
    <d v="2025-05-16T00:00:00"/>
    <x v="0"/>
    <s v="South"/>
    <x v="0"/>
    <s v="Referral"/>
    <s v="Basic"/>
    <n v="1"/>
    <n v="0"/>
    <n v="0"/>
    <n v="0"/>
    <n v="0"/>
    <x v="0"/>
    <n v="0"/>
    <m/>
    <n v="77.7"/>
    <x v="0"/>
  </r>
  <r>
    <s v="USR-100311"/>
    <d v="2025-03-08T00:00:00"/>
    <x v="0"/>
    <s v="West"/>
    <x v="1"/>
    <s v="Organic"/>
    <s v="Free"/>
    <n v="0"/>
    <n v="0"/>
    <n v="0"/>
    <n v="0"/>
    <n v="0"/>
    <x v="0"/>
    <n v="0"/>
    <m/>
    <n v="71.2"/>
    <x v="0"/>
  </r>
  <r>
    <s v="USR-100312"/>
    <d v="2025-04-04T00:00:00"/>
    <x v="0"/>
    <s v="North"/>
    <x v="1"/>
    <s v="Organic"/>
    <s v="Basic"/>
    <n v="1"/>
    <n v="0"/>
    <n v="0"/>
    <n v="0"/>
    <n v="0"/>
    <x v="0"/>
    <n v="0"/>
    <m/>
    <n v="43.8"/>
    <x v="0"/>
  </r>
  <r>
    <s v="USR-100313"/>
    <d v="2025-05-30T00:00:00"/>
    <x v="0"/>
    <s v="South"/>
    <x v="2"/>
    <s v="Organic"/>
    <s v="Free"/>
    <n v="1"/>
    <n v="0"/>
    <n v="0"/>
    <n v="0"/>
    <n v="0"/>
    <x v="0"/>
    <n v="0"/>
    <m/>
    <n v="50.9"/>
    <x v="0"/>
  </r>
  <r>
    <s v="USR-100314"/>
    <d v="2025-01-05T00:00:00"/>
    <x v="0"/>
    <s v="West"/>
    <x v="1"/>
    <s v="Organic"/>
    <s v="Premium"/>
    <n v="0"/>
    <n v="0"/>
    <n v="0"/>
    <n v="0"/>
    <n v="0"/>
    <x v="0"/>
    <n v="0"/>
    <m/>
    <n v="58.5"/>
    <x v="0"/>
  </r>
  <r>
    <s v="USR-100315"/>
    <d v="2025-01-20T00:00:00"/>
    <x v="0"/>
    <s v="East"/>
    <x v="1"/>
    <s v="Organic"/>
    <s v="Free"/>
    <n v="1"/>
    <n v="1"/>
    <n v="1"/>
    <n v="0"/>
    <n v="0"/>
    <x v="0"/>
    <n v="0"/>
    <m/>
    <n v="53.6"/>
    <x v="0"/>
  </r>
  <r>
    <s v="USR-100316"/>
    <d v="2025-05-01T00:00:00"/>
    <x v="0"/>
    <s v="East"/>
    <x v="1"/>
    <s v="Email"/>
    <s v="Free"/>
    <n v="0"/>
    <n v="0"/>
    <n v="0"/>
    <n v="0"/>
    <n v="0"/>
    <x v="0"/>
    <n v="0"/>
    <m/>
    <n v="54.9"/>
    <x v="0"/>
  </r>
  <r>
    <s v="USR-100317"/>
    <d v="2025-03-05T00:00:00"/>
    <x v="0"/>
    <s v="North"/>
    <x v="0"/>
    <s v="Organic"/>
    <s v="Premium"/>
    <n v="0"/>
    <n v="0"/>
    <n v="0"/>
    <n v="0"/>
    <n v="0"/>
    <x v="0"/>
    <n v="0"/>
    <m/>
    <n v="57.3"/>
    <x v="0"/>
  </r>
  <r>
    <s v="USR-100318"/>
    <d v="2025-04-01T00:00:00"/>
    <x v="0"/>
    <s v="East"/>
    <x v="0"/>
    <s v="Referral"/>
    <s v="Free"/>
    <n v="1"/>
    <n v="0"/>
    <n v="0"/>
    <n v="0"/>
    <n v="0"/>
    <x v="0"/>
    <n v="0"/>
    <m/>
    <n v="52.1"/>
    <x v="0"/>
  </r>
  <r>
    <s v="USR-100319"/>
    <d v="2025-05-03T00:00:00"/>
    <x v="0"/>
    <s v="North"/>
    <x v="1"/>
    <s v="Organic"/>
    <s v="Free"/>
    <n v="1"/>
    <n v="0"/>
    <n v="0"/>
    <n v="0"/>
    <n v="0"/>
    <x v="0"/>
    <n v="0"/>
    <m/>
    <n v="80"/>
    <x v="0"/>
  </r>
  <r>
    <s v="USR-100320"/>
    <d v="2025-03-06T00:00:00"/>
    <x v="0"/>
    <s v="South"/>
    <x v="0"/>
    <s v="Paid Search"/>
    <s v="Premium"/>
    <n v="1"/>
    <n v="0"/>
    <n v="0"/>
    <n v="0"/>
    <n v="0"/>
    <x v="0"/>
    <n v="0"/>
    <m/>
    <n v="39.299999999999997"/>
    <x v="0"/>
  </r>
  <r>
    <s v="USR-100321"/>
    <d v="2025-04-01T00:00:00"/>
    <x v="0"/>
    <s v="North"/>
    <x v="0"/>
    <s v="Referral"/>
    <s v="Premium"/>
    <n v="0"/>
    <n v="0"/>
    <n v="0"/>
    <n v="0"/>
    <n v="0"/>
    <x v="0"/>
    <n v="0"/>
    <m/>
    <n v="45.7"/>
    <x v="0"/>
  </r>
  <r>
    <s v="USR-100322"/>
    <d v="2025-02-09T00:00:00"/>
    <x v="0"/>
    <s v="North"/>
    <x v="0"/>
    <s v="Social"/>
    <s v="Basic"/>
    <n v="1"/>
    <n v="0"/>
    <n v="0"/>
    <n v="0"/>
    <n v="0"/>
    <x v="2"/>
    <n v="0"/>
    <m/>
    <n v="61.2"/>
    <x v="0"/>
  </r>
  <r>
    <s v="USR-100323"/>
    <d v="2025-04-12T00:00:00"/>
    <x v="0"/>
    <s v="West"/>
    <x v="1"/>
    <s v="Organic"/>
    <s v="Basic"/>
    <n v="1"/>
    <n v="1"/>
    <n v="0"/>
    <n v="0"/>
    <n v="0"/>
    <x v="0"/>
    <n v="0"/>
    <m/>
    <n v="66.2"/>
    <x v="0"/>
  </r>
  <r>
    <s v="USR-100324"/>
    <d v="2025-03-18T00:00:00"/>
    <x v="0"/>
    <s v="East"/>
    <x v="1"/>
    <s v="Social"/>
    <s v="Free"/>
    <n v="1"/>
    <n v="1"/>
    <n v="1"/>
    <n v="0"/>
    <n v="0"/>
    <x v="0"/>
    <n v="0"/>
    <m/>
    <n v="61.3"/>
    <x v="0"/>
  </r>
  <r>
    <s v="USR-100325"/>
    <d v="2025-04-03T00:00:00"/>
    <x v="0"/>
    <s v="East"/>
    <x v="1"/>
    <s v="Paid Search"/>
    <s v="Free"/>
    <n v="1"/>
    <n v="0"/>
    <n v="0"/>
    <n v="0"/>
    <n v="0"/>
    <x v="0"/>
    <n v="0"/>
    <m/>
    <n v="72.2"/>
    <x v="0"/>
  </r>
  <r>
    <s v="USR-100326"/>
    <d v="2025-04-02T00:00:00"/>
    <x v="0"/>
    <s v="West"/>
    <x v="1"/>
    <s v="Email"/>
    <s v="Premium"/>
    <n v="1"/>
    <n v="1"/>
    <n v="1"/>
    <n v="0"/>
    <n v="0"/>
    <x v="0"/>
    <n v="0"/>
    <m/>
    <n v="84"/>
    <x v="0"/>
  </r>
  <r>
    <s v="USR-100327"/>
    <d v="2025-05-10T00:00:00"/>
    <x v="0"/>
    <s v="West"/>
    <x v="0"/>
    <s v="Email"/>
    <s v="Basic"/>
    <n v="0"/>
    <n v="0"/>
    <n v="0"/>
    <n v="0"/>
    <n v="0"/>
    <x v="0"/>
    <n v="0"/>
    <m/>
    <n v="59.8"/>
    <x v="0"/>
  </r>
  <r>
    <s v="USR-100328"/>
    <d v="2025-04-29T00:00:00"/>
    <x v="0"/>
    <s v="West"/>
    <x v="0"/>
    <s v="Paid Search"/>
    <s v="Free"/>
    <n v="1"/>
    <n v="0"/>
    <n v="0"/>
    <n v="0"/>
    <n v="0"/>
    <x v="0"/>
    <n v="0"/>
    <m/>
    <n v="64.900000000000006"/>
    <x v="0"/>
  </r>
  <r>
    <s v="USR-100329"/>
    <d v="2025-02-27T00:00:00"/>
    <x v="0"/>
    <s v="South"/>
    <x v="1"/>
    <s v="Paid Search"/>
    <s v="Free"/>
    <n v="1"/>
    <n v="0"/>
    <n v="0"/>
    <n v="0"/>
    <n v="0"/>
    <x v="0"/>
    <n v="0"/>
    <m/>
    <n v="66.8"/>
    <x v="0"/>
  </r>
  <r>
    <s v="USR-100330"/>
    <d v="2025-04-10T00:00:00"/>
    <x v="0"/>
    <s v="North"/>
    <x v="0"/>
    <s v="Organic"/>
    <s v="Premium"/>
    <n v="0"/>
    <n v="0"/>
    <n v="0"/>
    <n v="0"/>
    <n v="0"/>
    <x v="0"/>
    <n v="0"/>
    <m/>
    <n v="70.900000000000006"/>
    <x v="0"/>
  </r>
  <r>
    <s v="USR-100331"/>
    <d v="2025-02-13T00:00:00"/>
    <x v="0"/>
    <s v="East"/>
    <x v="1"/>
    <s v="Organic"/>
    <s v="Free"/>
    <n v="1"/>
    <n v="1"/>
    <n v="1"/>
    <n v="1"/>
    <n v="426.82"/>
    <x v="1"/>
    <n v="0"/>
    <n v="14"/>
    <n v="68.8"/>
    <x v="0"/>
  </r>
  <r>
    <s v="USR-100332"/>
    <d v="2025-05-03T00:00:00"/>
    <x v="0"/>
    <s v="North"/>
    <x v="1"/>
    <s v="Organic"/>
    <s v="Basic"/>
    <n v="1"/>
    <n v="0"/>
    <n v="0"/>
    <n v="0"/>
    <n v="0"/>
    <x v="0"/>
    <n v="0"/>
    <m/>
    <n v="72.400000000000006"/>
    <x v="0"/>
  </r>
  <r>
    <s v="USR-100333"/>
    <d v="2025-03-10T00:00:00"/>
    <x v="0"/>
    <s v="East"/>
    <x v="1"/>
    <s v="Organic"/>
    <s v="Basic"/>
    <n v="0"/>
    <n v="0"/>
    <n v="0"/>
    <n v="0"/>
    <n v="0"/>
    <x v="0"/>
    <n v="0"/>
    <m/>
    <n v="63.3"/>
    <x v="0"/>
  </r>
  <r>
    <s v="USR-100334"/>
    <d v="2025-01-10T00:00:00"/>
    <x v="0"/>
    <s v="West"/>
    <x v="2"/>
    <s v="Social"/>
    <s v="Free"/>
    <n v="1"/>
    <n v="0"/>
    <n v="0"/>
    <n v="0"/>
    <n v="0"/>
    <x v="0"/>
    <n v="0"/>
    <m/>
    <n v="30.8"/>
    <x v="0"/>
  </r>
  <r>
    <s v="USR-100335"/>
    <d v="2025-01-16T00:00:00"/>
    <x v="0"/>
    <s v="South"/>
    <x v="1"/>
    <s v="Email"/>
    <s v="Basic"/>
    <n v="1"/>
    <n v="1"/>
    <n v="1"/>
    <n v="1"/>
    <n v="874.55"/>
    <x v="0"/>
    <n v="0"/>
    <n v="9"/>
    <n v="44.2"/>
    <x v="0"/>
  </r>
  <r>
    <s v="USR-100336"/>
    <d v="2025-02-11T00:00:00"/>
    <x v="0"/>
    <s v="South"/>
    <x v="0"/>
    <s v="Organic"/>
    <s v="Premium"/>
    <n v="1"/>
    <n v="1"/>
    <n v="1"/>
    <n v="1"/>
    <n v="2206.88"/>
    <x v="0"/>
    <n v="0"/>
    <n v="10"/>
    <n v="56.2"/>
    <x v="0"/>
  </r>
  <r>
    <s v="USR-100337"/>
    <d v="2025-04-13T00:00:00"/>
    <x v="0"/>
    <s v="West"/>
    <x v="1"/>
    <s v="Organic"/>
    <s v="Free"/>
    <n v="0"/>
    <n v="0"/>
    <n v="0"/>
    <n v="0"/>
    <n v="0"/>
    <x v="0"/>
    <n v="0"/>
    <m/>
    <n v="40.4"/>
    <x v="0"/>
  </r>
  <r>
    <s v="USR-100338"/>
    <d v="2025-02-08T00:00:00"/>
    <x v="0"/>
    <s v="East"/>
    <x v="1"/>
    <s v="Paid Search"/>
    <s v="Free"/>
    <n v="1"/>
    <n v="1"/>
    <n v="1"/>
    <n v="0"/>
    <n v="0"/>
    <x v="0"/>
    <n v="0"/>
    <m/>
    <n v="68.099999999999994"/>
    <x v="0"/>
  </r>
  <r>
    <s v="USR-100339"/>
    <d v="2025-03-31T00:00:00"/>
    <x v="0"/>
    <s v="West"/>
    <x v="0"/>
    <s v="Referral"/>
    <s v="Free"/>
    <n v="1"/>
    <n v="0"/>
    <n v="0"/>
    <n v="0"/>
    <n v="0"/>
    <x v="0"/>
    <n v="0"/>
    <m/>
    <n v="86.3"/>
    <x v="0"/>
  </r>
  <r>
    <s v="USR-100340"/>
    <d v="2025-01-31T00:00:00"/>
    <x v="0"/>
    <s v="West"/>
    <x v="0"/>
    <s v="Referral"/>
    <s v="Free"/>
    <n v="1"/>
    <n v="1"/>
    <n v="0"/>
    <n v="0"/>
    <n v="0"/>
    <x v="0"/>
    <n v="0"/>
    <m/>
    <n v="42.9"/>
    <x v="0"/>
  </r>
  <r>
    <s v="USR-100341"/>
    <d v="2025-05-08T00:00:00"/>
    <x v="0"/>
    <s v="West"/>
    <x v="2"/>
    <s v="Organic"/>
    <s v="Free"/>
    <n v="0"/>
    <n v="0"/>
    <n v="0"/>
    <n v="0"/>
    <n v="0"/>
    <x v="0"/>
    <n v="0"/>
    <m/>
    <n v="61.4"/>
    <x v="0"/>
  </r>
  <r>
    <s v="USR-100342"/>
    <d v="2025-03-15T00:00:00"/>
    <x v="0"/>
    <s v="North"/>
    <x v="1"/>
    <s v="Paid Search"/>
    <s v="Free"/>
    <n v="1"/>
    <n v="0"/>
    <n v="0"/>
    <n v="0"/>
    <n v="0"/>
    <x v="1"/>
    <n v="0"/>
    <m/>
    <n v="73.3"/>
    <x v="0"/>
  </r>
  <r>
    <s v="USR-100343"/>
    <d v="2025-01-13T00:00:00"/>
    <x v="0"/>
    <s v="South"/>
    <x v="1"/>
    <s v="Referral"/>
    <s v="Basic"/>
    <n v="1"/>
    <n v="0"/>
    <n v="0"/>
    <n v="0"/>
    <n v="0"/>
    <x v="0"/>
    <n v="0"/>
    <m/>
    <n v="59.4"/>
    <x v="0"/>
  </r>
  <r>
    <s v="USR-100344"/>
    <d v="2025-03-07T00:00:00"/>
    <x v="0"/>
    <s v="South"/>
    <x v="2"/>
    <s v="Organic"/>
    <s v="Basic"/>
    <n v="1"/>
    <n v="0"/>
    <n v="0"/>
    <n v="0"/>
    <n v="0"/>
    <x v="0"/>
    <n v="0"/>
    <m/>
    <n v="35.200000000000003"/>
    <x v="0"/>
  </r>
  <r>
    <s v="USR-100345"/>
    <d v="2025-02-10T00:00:00"/>
    <x v="0"/>
    <s v="South"/>
    <x v="1"/>
    <s v="Social"/>
    <s v="Premium"/>
    <n v="1"/>
    <n v="1"/>
    <n v="0"/>
    <n v="0"/>
    <n v="0"/>
    <x v="0"/>
    <n v="0"/>
    <m/>
    <n v="55.3"/>
    <x v="0"/>
  </r>
  <r>
    <s v="USR-100346"/>
    <d v="2025-03-12T00:00:00"/>
    <x v="0"/>
    <s v="East"/>
    <x v="1"/>
    <s v="Paid Search"/>
    <s v="Free"/>
    <n v="0"/>
    <n v="0"/>
    <n v="0"/>
    <n v="0"/>
    <n v="0"/>
    <x v="0"/>
    <n v="0"/>
    <m/>
    <n v="37.5"/>
    <x v="0"/>
  </r>
  <r>
    <s v="USR-100347"/>
    <d v="2025-01-03T00:00:00"/>
    <x v="0"/>
    <s v="South"/>
    <x v="0"/>
    <s v="Paid Search"/>
    <s v="Free"/>
    <n v="0"/>
    <n v="0"/>
    <n v="0"/>
    <n v="0"/>
    <n v="0"/>
    <x v="1"/>
    <n v="0"/>
    <m/>
    <n v="66.400000000000006"/>
    <x v="0"/>
  </r>
  <r>
    <s v="USR-100348"/>
    <d v="2025-04-28T00:00:00"/>
    <x v="0"/>
    <s v="North"/>
    <x v="2"/>
    <s v="Social"/>
    <s v="Basic"/>
    <n v="1"/>
    <n v="0"/>
    <n v="0"/>
    <n v="0"/>
    <n v="0"/>
    <x v="0"/>
    <n v="0"/>
    <m/>
    <n v="61.9"/>
    <x v="0"/>
  </r>
  <r>
    <s v="USR-100349"/>
    <d v="2025-04-17T00:00:00"/>
    <x v="0"/>
    <s v="East"/>
    <x v="1"/>
    <s v="Organic"/>
    <s v="Free"/>
    <n v="0"/>
    <n v="0"/>
    <n v="0"/>
    <n v="0"/>
    <n v="0"/>
    <x v="0"/>
    <n v="0"/>
    <m/>
    <n v="56"/>
    <x v="0"/>
  </r>
  <r>
    <s v="USR-100350"/>
    <d v="2025-05-23T00:00:00"/>
    <x v="0"/>
    <s v="South"/>
    <x v="0"/>
    <s v="Social"/>
    <s v="Basic"/>
    <n v="1"/>
    <n v="0"/>
    <n v="0"/>
    <n v="0"/>
    <n v="0"/>
    <x v="0"/>
    <n v="0"/>
    <m/>
    <n v="55.5"/>
    <x v="0"/>
  </r>
  <r>
    <s v="USR-100351"/>
    <d v="2025-02-19T00:00:00"/>
    <x v="0"/>
    <s v="West"/>
    <x v="2"/>
    <s v="Referral"/>
    <s v="Basic"/>
    <n v="1"/>
    <n v="0"/>
    <n v="0"/>
    <n v="0"/>
    <n v="0"/>
    <x v="0"/>
    <n v="0"/>
    <m/>
    <n v="37.200000000000003"/>
    <x v="0"/>
  </r>
  <r>
    <s v="USR-100352"/>
    <d v="2025-01-18T00:00:00"/>
    <x v="0"/>
    <s v="South"/>
    <x v="0"/>
    <s v="Organic"/>
    <s v="Free"/>
    <n v="1"/>
    <n v="1"/>
    <n v="0"/>
    <n v="0"/>
    <n v="0"/>
    <x v="1"/>
    <n v="0"/>
    <m/>
    <n v="70.5"/>
    <x v="0"/>
  </r>
  <r>
    <s v="USR-100353"/>
    <d v="2025-04-17T00:00:00"/>
    <x v="0"/>
    <s v="North"/>
    <x v="1"/>
    <s v="Organic"/>
    <s v="Free"/>
    <n v="0"/>
    <n v="0"/>
    <n v="0"/>
    <n v="0"/>
    <n v="0"/>
    <x v="0"/>
    <n v="0"/>
    <m/>
    <n v="61.2"/>
    <x v="0"/>
  </r>
  <r>
    <s v="USR-100354"/>
    <d v="2025-04-12T00:00:00"/>
    <x v="0"/>
    <s v="East"/>
    <x v="2"/>
    <s v="Social"/>
    <s v="Free"/>
    <n v="1"/>
    <n v="1"/>
    <n v="1"/>
    <n v="0"/>
    <n v="0"/>
    <x v="0"/>
    <n v="0"/>
    <m/>
    <n v="64.599999999999994"/>
    <x v="0"/>
  </r>
  <r>
    <s v="USR-100355"/>
    <d v="2025-05-16T00:00:00"/>
    <x v="0"/>
    <s v="East"/>
    <x v="1"/>
    <s v="Email"/>
    <s v="Free"/>
    <n v="1"/>
    <n v="1"/>
    <n v="0"/>
    <n v="0"/>
    <n v="0"/>
    <x v="0"/>
    <n v="0"/>
    <m/>
    <n v="91.7"/>
    <x v="0"/>
  </r>
  <r>
    <s v="USR-100356"/>
    <d v="2025-03-24T00:00:00"/>
    <x v="0"/>
    <s v="West"/>
    <x v="1"/>
    <s v="Social"/>
    <s v="Free"/>
    <n v="0"/>
    <n v="0"/>
    <n v="0"/>
    <n v="0"/>
    <n v="0"/>
    <x v="0"/>
    <n v="0"/>
    <m/>
    <n v="46"/>
    <x v="0"/>
  </r>
  <r>
    <s v="USR-100357"/>
    <d v="2025-02-16T00:00:00"/>
    <x v="0"/>
    <s v="West"/>
    <x v="1"/>
    <s v="Organic"/>
    <s v="Basic"/>
    <n v="0"/>
    <n v="0"/>
    <n v="0"/>
    <n v="0"/>
    <n v="0"/>
    <x v="0"/>
    <n v="0"/>
    <m/>
    <n v="50.8"/>
    <x v="0"/>
  </r>
  <r>
    <s v="USR-100358"/>
    <d v="2025-03-19T00:00:00"/>
    <x v="0"/>
    <s v="North"/>
    <x v="2"/>
    <s v="Organic"/>
    <s v="Free"/>
    <n v="1"/>
    <n v="1"/>
    <n v="1"/>
    <n v="0"/>
    <n v="0"/>
    <x v="0"/>
    <n v="0"/>
    <m/>
    <n v="52.8"/>
    <x v="0"/>
  </r>
  <r>
    <s v="USR-100359"/>
    <d v="2025-04-21T00:00:00"/>
    <x v="0"/>
    <s v="South"/>
    <x v="1"/>
    <s v="Organic"/>
    <s v="Basic"/>
    <n v="1"/>
    <n v="1"/>
    <n v="1"/>
    <n v="0"/>
    <n v="0"/>
    <x v="0"/>
    <n v="0"/>
    <m/>
    <n v="63"/>
    <x v="0"/>
  </r>
  <r>
    <s v="USR-100360"/>
    <d v="2025-01-11T00:00:00"/>
    <x v="0"/>
    <s v="West"/>
    <x v="1"/>
    <s v="Organic"/>
    <s v="Free"/>
    <n v="0"/>
    <n v="0"/>
    <n v="0"/>
    <n v="0"/>
    <n v="0"/>
    <x v="0"/>
    <n v="0"/>
    <m/>
    <n v="28.4"/>
    <x v="0"/>
  </r>
  <r>
    <s v="USR-100361"/>
    <d v="2025-04-24T00:00:00"/>
    <x v="0"/>
    <s v="West"/>
    <x v="0"/>
    <s v="Organic"/>
    <s v="Free"/>
    <n v="1"/>
    <n v="1"/>
    <n v="0"/>
    <n v="0"/>
    <n v="0"/>
    <x v="0"/>
    <n v="0"/>
    <m/>
    <n v="65.599999999999994"/>
    <x v="0"/>
  </r>
  <r>
    <s v="USR-100362"/>
    <d v="2025-03-13T00:00:00"/>
    <x v="0"/>
    <s v="North"/>
    <x v="1"/>
    <s v="Social"/>
    <s v="Premium"/>
    <n v="1"/>
    <n v="1"/>
    <n v="1"/>
    <n v="0"/>
    <n v="0"/>
    <x v="0"/>
    <n v="0"/>
    <m/>
    <n v="54.7"/>
    <x v="0"/>
  </r>
  <r>
    <s v="USR-100363"/>
    <d v="2025-01-30T00:00:00"/>
    <x v="0"/>
    <s v="North"/>
    <x v="1"/>
    <s v="Social"/>
    <s v="Basic"/>
    <n v="0"/>
    <n v="0"/>
    <n v="0"/>
    <n v="0"/>
    <n v="0"/>
    <x v="0"/>
    <n v="0"/>
    <m/>
    <n v="36.1"/>
    <x v="0"/>
  </r>
  <r>
    <s v="USR-100364"/>
    <d v="2025-05-08T00:00:00"/>
    <x v="0"/>
    <s v="South"/>
    <x v="1"/>
    <s v="Social"/>
    <s v="Basic"/>
    <n v="1"/>
    <n v="1"/>
    <n v="1"/>
    <n v="0"/>
    <n v="0"/>
    <x v="0"/>
    <n v="0"/>
    <m/>
    <n v="70.400000000000006"/>
    <x v="0"/>
  </r>
  <r>
    <s v="USR-100365"/>
    <d v="2025-01-08T00:00:00"/>
    <x v="0"/>
    <s v="East"/>
    <x v="0"/>
    <s v="Social"/>
    <s v="Free"/>
    <n v="1"/>
    <n v="0"/>
    <n v="0"/>
    <n v="0"/>
    <n v="0"/>
    <x v="0"/>
    <n v="0"/>
    <m/>
    <n v="56.4"/>
    <x v="0"/>
  </r>
  <r>
    <s v="USR-100366"/>
    <d v="2025-05-03T00:00:00"/>
    <x v="0"/>
    <s v="South"/>
    <x v="1"/>
    <s v="Organic"/>
    <s v="Free"/>
    <n v="1"/>
    <n v="0"/>
    <n v="0"/>
    <n v="0"/>
    <n v="0"/>
    <x v="0"/>
    <n v="0"/>
    <m/>
    <n v="79.2"/>
    <x v="0"/>
  </r>
  <r>
    <s v="USR-100367"/>
    <d v="2025-02-12T00:00:00"/>
    <x v="0"/>
    <s v="East"/>
    <x v="1"/>
    <s v="Paid Search"/>
    <s v="Free"/>
    <n v="1"/>
    <n v="1"/>
    <n v="1"/>
    <n v="0"/>
    <n v="0"/>
    <x v="0"/>
    <n v="0"/>
    <m/>
    <n v="60.1"/>
    <x v="0"/>
  </r>
  <r>
    <s v="USR-100368"/>
    <d v="2025-02-25T00:00:00"/>
    <x v="0"/>
    <s v="South"/>
    <x v="2"/>
    <s v="Organic"/>
    <s v="Free"/>
    <n v="0"/>
    <n v="0"/>
    <n v="0"/>
    <n v="0"/>
    <n v="0"/>
    <x v="0"/>
    <n v="0"/>
    <m/>
    <n v="58"/>
    <x v="0"/>
  </r>
  <r>
    <s v="USR-100369"/>
    <d v="2025-04-14T00:00:00"/>
    <x v="0"/>
    <s v="South"/>
    <x v="1"/>
    <s v="Referral"/>
    <s v="Free"/>
    <n v="1"/>
    <n v="1"/>
    <n v="1"/>
    <n v="0"/>
    <n v="0"/>
    <x v="0"/>
    <n v="0"/>
    <m/>
    <n v="69"/>
    <x v="0"/>
  </r>
  <r>
    <s v="USR-100370"/>
    <d v="2025-01-08T00:00:00"/>
    <x v="0"/>
    <s v="North"/>
    <x v="1"/>
    <s v="Referral"/>
    <s v="Premium"/>
    <n v="1"/>
    <n v="1"/>
    <n v="1"/>
    <n v="0"/>
    <n v="0"/>
    <x v="1"/>
    <n v="0"/>
    <m/>
    <n v="80.8"/>
    <x v="0"/>
  </r>
  <r>
    <s v="USR-100371"/>
    <d v="2025-03-14T00:00:00"/>
    <x v="0"/>
    <s v="East"/>
    <x v="1"/>
    <s v="Email"/>
    <s v="Free"/>
    <n v="0"/>
    <n v="0"/>
    <n v="0"/>
    <n v="0"/>
    <n v="0"/>
    <x v="0"/>
    <n v="0"/>
    <m/>
    <n v="32.799999999999997"/>
    <x v="0"/>
  </r>
  <r>
    <s v="USR-100372"/>
    <d v="2025-04-29T00:00:00"/>
    <x v="0"/>
    <s v="North"/>
    <x v="0"/>
    <s v="Paid Search"/>
    <s v="Premium"/>
    <n v="1"/>
    <n v="0"/>
    <n v="0"/>
    <n v="0"/>
    <n v="0"/>
    <x v="0"/>
    <n v="0"/>
    <m/>
    <n v="56"/>
    <x v="0"/>
  </r>
  <r>
    <s v="USR-100373"/>
    <d v="2025-05-01T00:00:00"/>
    <x v="0"/>
    <s v="East"/>
    <x v="0"/>
    <s v="Social"/>
    <s v="Free"/>
    <n v="1"/>
    <n v="0"/>
    <n v="0"/>
    <n v="0"/>
    <n v="0"/>
    <x v="0"/>
    <n v="0"/>
    <m/>
    <n v="76.400000000000006"/>
    <x v="0"/>
  </r>
  <r>
    <s v="USR-100374"/>
    <d v="2025-03-19T00:00:00"/>
    <x v="0"/>
    <s v="North"/>
    <x v="1"/>
    <s v="Referral"/>
    <s v="Free"/>
    <n v="1"/>
    <n v="0"/>
    <n v="0"/>
    <n v="0"/>
    <n v="0"/>
    <x v="0"/>
    <n v="0"/>
    <m/>
    <n v="28.5"/>
    <x v="0"/>
  </r>
  <r>
    <s v="USR-100375"/>
    <d v="2025-05-01T00:00:00"/>
    <x v="0"/>
    <s v="South"/>
    <x v="0"/>
    <s v="Social"/>
    <s v="Basic"/>
    <n v="1"/>
    <n v="1"/>
    <n v="1"/>
    <n v="0"/>
    <n v="0"/>
    <x v="0"/>
    <n v="0"/>
    <m/>
    <n v="48.3"/>
    <x v="0"/>
  </r>
  <r>
    <s v="USR-100376"/>
    <d v="2025-03-14T00:00:00"/>
    <x v="0"/>
    <s v="West"/>
    <x v="1"/>
    <s v="Organic"/>
    <s v="Free"/>
    <n v="1"/>
    <n v="1"/>
    <n v="0"/>
    <n v="0"/>
    <n v="0"/>
    <x v="0"/>
    <n v="0"/>
    <m/>
    <n v="43.4"/>
    <x v="0"/>
  </r>
  <r>
    <s v="USR-100377"/>
    <d v="2025-03-23T00:00:00"/>
    <x v="0"/>
    <s v="North"/>
    <x v="1"/>
    <s v="Paid Search"/>
    <s v="Free"/>
    <n v="0"/>
    <n v="0"/>
    <n v="0"/>
    <n v="0"/>
    <n v="0"/>
    <x v="0"/>
    <n v="0"/>
    <m/>
    <n v="43"/>
    <x v="0"/>
  </r>
  <r>
    <s v="USR-100378"/>
    <d v="2025-02-08T00:00:00"/>
    <x v="0"/>
    <s v="East"/>
    <x v="1"/>
    <s v="Referral"/>
    <s v="Basic"/>
    <n v="1"/>
    <n v="1"/>
    <n v="1"/>
    <n v="0"/>
    <n v="0"/>
    <x v="0"/>
    <n v="0"/>
    <m/>
    <n v="91.8"/>
    <x v="0"/>
  </r>
  <r>
    <s v="USR-100379"/>
    <d v="2025-04-15T00:00:00"/>
    <x v="0"/>
    <s v="West"/>
    <x v="2"/>
    <s v="Paid Search"/>
    <s v="Basic"/>
    <n v="1"/>
    <n v="0"/>
    <n v="0"/>
    <n v="0"/>
    <n v="0"/>
    <x v="1"/>
    <n v="0"/>
    <m/>
    <n v="69.3"/>
    <x v="0"/>
  </r>
  <r>
    <s v="USR-100380"/>
    <d v="2025-01-03T00:00:00"/>
    <x v="0"/>
    <s v="South"/>
    <x v="0"/>
    <s v="Paid Search"/>
    <s v="Basic"/>
    <n v="1"/>
    <n v="0"/>
    <n v="0"/>
    <n v="0"/>
    <n v="0"/>
    <x v="0"/>
    <n v="0"/>
    <m/>
    <n v="58.9"/>
    <x v="0"/>
  </r>
  <r>
    <s v="USR-100381"/>
    <d v="2025-03-23T00:00:00"/>
    <x v="0"/>
    <s v="West"/>
    <x v="1"/>
    <s v="Social"/>
    <s v="Free"/>
    <n v="1"/>
    <n v="1"/>
    <n v="1"/>
    <n v="0"/>
    <n v="0"/>
    <x v="0"/>
    <n v="0"/>
    <m/>
    <n v="76"/>
    <x v="0"/>
  </r>
  <r>
    <s v="USR-100382"/>
    <d v="2025-05-27T00:00:00"/>
    <x v="0"/>
    <s v="South"/>
    <x v="1"/>
    <s v="Referral"/>
    <s v="Premium"/>
    <n v="1"/>
    <n v="0"/>
    <n v="0"/>
    <n v="0"/>
    <n v="0"/>
    <x v="0"/>
    <n v="0"/>
    <m/>
    <n v="46"/>
    <x v="0"/>
  </r>
  <r>
    <s v="USR-100383"/>
    <d v="2025-04-30T00:00:00"/>
    <x v="0"/>
    <s v="East"/>
    <x v="1"/>
    <s v="Organic"/>
    <s v="Free"/>
    <n v="1"/>
    <n v="0"/>
    <n v="0"/>
    <n v="0"/>
    <n v="0"/>
    <x v="0"/>
    <n v="0"/>
    <m/>
    <n v="54.1"/>
    <x v="0"/>
  </r>
  <r>
    <s v="USR-100384"/>
    <d v="2025-03-07T00:00:00"/>
    <x v="0"/>
    <s v="West"/>
    <x v="1"/>
    <s v="Social"/>
    <s v="Basic"/>
    <n v="1"/>
    <n v="0"/>
    <n v="0"/>
    <n v="0"/>
    <n v="0"/>
    <x v="0"/>
    <n v="0"/>
    <m/>
    <n v="82.4"/>
    <x v="0"/>
  </r>
  <r>
    <s v="USR-100385"/>
    <d v="2025-05-10T00:00:00"/>
    <x v="0"/>
    <s v="South"/>
    <x v="1"/>
    <s v="Organic"/>
    <s v="Basic"/>
    <n v="1"/>
    <n v="1"/>
    <n v="1"/>
    <n v="0"/>
    <n v="0"/>
    <x v="0"/>
    <n v="0"/>
    <m/>
    <n v="71.900000000000006"/>
    <x v="0"/>
  </r>
  <r>
    <s v="USR-100386"/>
    <d v="2025-05-22T00:00:00"/>
    <x v="0"/>
    <s v="East"/>
    <x v="1"/>
    <s v="Organic"/>
    <s v="Free"/>
    <n v="0"/>
    <n v="0"/>
    <n v="0"/>
    <n v="0"/>
    <n v="0"/>
    <x v="2"/>
    <n v="0"/>
    <m/>
    <n v="38"/>
    <x v="0"/>
  </r>
  <r>
    <s v="USR-100387"/>
    <d v="2025-02-09T00:00:00"/>
    <x v="0"/>
    <s v="East"/>
    <x v="1"/>
    <s v="Paid Search"/>
    <s v="Free"/>
    <n v="1"/>
    <n v="1"/>
    <n v="0"/>
    <n v="0"/>
    <n v="0"/>
    <x v="0"/>
    <n v="0"/>
    <m/>
    <n v="43.7"/>
    <x v="0"/>
  </r>
  <r>
    <s v="USR-100388"/>
    <d v="2025-05-30T00:00:00"/>
    <x v="0"/>
    <s v="West"/>
    <x v="0"/>
    <s v="Organic"/>
    <s v="Premium"/>
    <n v="1"/>
    <n v="0"/>
    <n v="0"/>
    <n v="0"/>
    <n v="0"/>
    <x v="1"/>
    <n v="0"/>
    <m/>
    <n v="32.200000000000003"/>
    <x v="0"/>
  </r>
  <r>
    <s v="USR-100389"/>
    <d v="2025-05-01T00:00:00"/>
    <x v="0"/>
    <s v="South"/>
    <x v="1"/>
    <s v="Organic"/>
    <s v="Premium"/>
    <n v="1"/>
    <n v="0"/>
    <n v="0"/>
    <n v="0"/>
    <n v="0"/>
    <x v="0"/>
    <n v="0"/>
    <m/>
    <n v="61"/>
    <x v="0"/>
  </r>
  <r>
    <s v="USR-100390"/>
    <d v="2025-01-03T00:00:00"/>
    <x v="0"/>
    <s v="South"/>
    <x v="1"/>
    <s v="Paid Search"/>
    <s v="Free"/>
    <n v="1"/>
    <n v="0"/>
    <n v="0"/>
    <n v="0"/>
    <n v="0"/>
    <x v="0"/>
    <n v="0"/>
    <m/>
    <n v="49"/>
    <x v="0"/>
  </r>
  <r>
    <s v="USR-100391"/>
    <d v="2025-02-13T00:00:00"/>
    <x v="0"/>
    <s v="East"/>
    <x v="1"/>
    <s v="Organic"/>
    <s v="Free"/>
    <n v="0"/>
    <n v="0"/>
    <n v="0"/>
    <n v="0"/>
    <n v="0"/>
    <x v="0"/>
    <n v="0"/>
    <m/>
    <n v="48.1"/>
    <x v="0"/>
  </r>
  <r>
    <s v="USR-100392"/>
    <d v="2025-01-14T00:00:00"/>
    <x v="0"/>
    <s v="South"/>
    <x v="0"/>
    <s v="Organic"/>
    <s v="Free"/>
    <n v="0"/>
    <n v="0"/>
    <n v="0"/>
    <n v="0"/>
    <n v="0"/>
    <x v="2"/>
    <n v="0"/>
    <m/>
    <n v="46.3"/>
    <x v="0"/>
  </r>
  <r>
    <s v="USR-100393"/>
    <d v="2025-02-24T00:00:00"/>
    <x v="0"/>
    <s v="North"/>
    <x v="1"/>
    <s v="Referral"/>
    <s v="Free"/>
    <n v="0"/>
    <n v="0"/>
    <n v="0"/>
    <n v="0"/>
    <n v="0"/>
    <x v="0"/>
    <n v="0"/>
    <m/>
    <n v="64"/>
    <x v="0"/>
  </r>
  <r>
    <s v="USR-100394"/>
    <d v="2025-05-16T00:00:00"/>
    <x v="0"/>
    <s v="West"/>
    <x v="0"/>
    <s v="Organic"/>
    <s v="Basic"/>
    <n v="1"/>
    <n v="1"/>
    <n v="0"/>
    <n v="0"/>
    <n v="0"/>
    <x v="0"/>
    <n v="0"/>
    <m/>
    <n v="56.2"/>
    <x v="0"/>
  </r>
  <r>
    <s v="USR-100395"/>
    <d v="2025-04-29T00:00:00"/>
    <x v="0"/>
    <s v="North"/>
    <x v="1"/>
    <s v="Paid Search"/>
    <s v="Free"/>
    <n v="1"/>
    <n v="1"/>
    <n v="1"/>
    <n v="0"/>
    <n v="0"/>
    <x v="0"/>
    <n v="0"/>
    <m/>
    <n v="77.5"/>
    <x v="0"/>
  </r>
  <r>
    <s v="USR-100396"/>
    <d v="2025-04-30T00:00:00"/>
    <x v="0"/>
    <s v="South"/>
    <x v="0"/>
    <s v="Email"/>
    <s v="Basic"/>
    <n v="1"/>
    <n v="0"/>
    <n v="0"/>
    <n v="0"/>
    <n v="0"/>
    <x v="0"/>
    <n v="0"/>
    <m/>
    <n v="59.9"/>
    <x v="0"/>
  </r>
  <r>
    <s v="USR-100397"/>
    <d v="2025-01-09T00:00:00"/>
    <x v="0"/>
    <s v="South"/>
    <x v="0"/>
    <s v="Organic"/>
    <s v="Free"/>
    <n v="1"/>
    <n v="1"/>
    <n v="0"/>
    <n v="0"/>
    <n v="0"/>
    <x v="0"/>
    <n v="0"/>
    <m/>
    <n v="63"/>
    <x v="0"/>
  </r>
  <r>
    <s v="USR-100398"/>
    <d v="2025-04-25T00:00:00"/>
    <x v="0"/>
    <s v="South"/>
    <x v="1"/>
    <s v="Organic"/>
    <s v="Free"/>
    <n v="1"/>
    <n v="1"/>
    <n v="0"/>
    <n v="0"/>
    <n v="0"/>
    <x v="0"/>
    <n v="0"/>
    <m/>
    <n v="76.5"/>
    <x v="0"/>
  </r>
  <r>
    <s v="USR-100399"/>
    <d v="2025-03-12T00:00:00"/>
    <x v="0"/>
    <s v="North"/>
    <x v="0"/>
    <s v="Paid Search"/>
    <s v="Free"/>
    <n v="1"/>
    <n v="0"/>
    <n v="0"/>
    <n v="0"/>
    <n v="0"/>
    <x v="0"/>
    <n v="0"/>
    <m/>
    <n v="39.700000000000003"/>
    <x v="0"/>
  </r>
  <r>
    <s v="USR-100400"/>
    <d v="2025-03-20T00:00:00"/>
    <x v="0"/>
    <s v="North"/>
    <x v="1"/>
    <s v="Organic"/>
    <s v="Free"/>
    <n v="1"/>
    <n v="1"/>
    <n v="0"/>
    <n v="0"/>
    <n v="0"/>
    <x v="0"/>
    <n v="0"/>
    <m/>
    <n v="80.2"/>
    <x v="0"/>
  </r>
  <r>
    <s v="USR-100401"/>
    <d v="2025-02-18T00:00:00"/>
    <x v="0"/>
    <s v="West"/>
    <x v="1"/>
    <s v="Paid Search"/>
    <s v="Free"/>
    <n v="1"/>
    <n v="0"/>
    <n v="0"/>
    <n v="0"/>
    <n v="0"/>
    <x v="0"/>
    <n v="0"/>
    <m/>
    <n v="72.2"/>
    <x v="0"/>
  </r>
  <r>
    <s v="USR-100402"/>
    <d v="2025-01-22T00:00:00"/>
    <x v="0"/>
    <s v="North"/>
    <x v="1"/>
    <s v="Social"/>
    <s v="Basic"/>
    <n v="0"/>
    <n v="0"/>
    <n v="0"/>
    <n v="0"/>
    <n v="0"/>
    <x v="0"/>
    <n v="0"/>
    <m/>
    <n v="56"/>
    <x v="0"/>
  </r>
  <r>
    <s v="USR-100403"/>
    <d v="2025-02-08T00:00:00"/>
    <x v="0"/>
    <s v="West"/>
    <x v="1"/>
    <s v="Email"/>
    <s v="Basic"/>
    <n v="1"/>
    <n v="1"/>
    <n v="1"/>
    <n v="0"/>
    <n v="0"/>
    <x v="0"/>
    <n v="0"/>
    <m/>
    <n v="69.099999999999994"/>
    <x v="0"/>
  </r>
  <r>
    <s v="USR-100404"/>
    <d v="2025-01-20T00:00:00"/>
    <x v="0"/>
    <s v="North"/>
    <x v="1"/>
    <s v="Email"/>
    <s v="Premium"/>
    <n v="0"/>
    <n v="0"/>
    <n v="0"/>
    <n v="0"/>
    <n v="0"/>
    <x v="1"/>
    <n v="0"/>
    <m/>
    <n v="70.599999999999994"/>
    <x v="0"/>
  </r>
  <r>
    <s v="USR-100405"/>
    <d v="2025-04-22T00:00:00"/>
    <x v="0"/>
    <s v="West"/>
    <x v="0"/>
    <s v="Referral"/>
    <s v="Free"/>
    <n v="1"/>
    <n v="0"/>
    <n v="0"/>
    <n v="0"/>
    <n v="0"/>
    <x v="0"/>
    <n v="0"/>
    <m/>
    <n v="57.9"/>
    <x v="0"/>
  </r>
  <r>
    <s v="USR-100406"/>
    <d v="2025-01-22T00:00:00"/>
    <x v="0"/>
    <s v="East"/>
    <x v="1"/>
    <s v="Organic"/>
    <s v="Basic"/>
    <n v="1"/>
    <n v="1"/>
    <n v="0"/>
    <n v="0"/>
    <n v="0"/>
    <x v="0"/>
    <n v="0"/>
    <m/>
    <n v="41.4"/>
    <x v="0"/>
  </r>
  <r>
    <s v="USR-100407"/>
    <d v="2025-05-11T00:00:00"/>
    <x v="0"/>
    <s v="West"/>
    <x v="1"/>
    <s v="Organic"/>
    <s v="Basic"/>
    <n v="1"/>
    <n v="0"/>
    <n v="0"/>
    <n v="0"/>
    <n v="0"/>
    <x v="0"/>
    <n v="0"/>
    <m/>
    <n v="60.9"/>
    <x v="0"/>
  </r>
  <r>
    <s v="USR-100408"/>
    <d v="2025-02-06T00:00:00"/>
    <x v="0"/>
    <s v="South"/>
    <x v="1"/>
    <s v="Organic"/>
    <s v="Basic"/>
    <n v="0"/>
    <n v="0"/>
    <n v="0"/>
    <n v="0"/>
    <n v="0"/>
    <x v="1"/>
    <n v="0"/>
    <m/>
    <n v="63.8"/>
    <x v="0"/>
  </r>
  <r>
    <s v="USR-100409"/>
    <d v="2025-02-21T00:00:00"/>
    <x v="0"/>
    <s v="North"/>
    <x v="0"/>
    <s v="Organic"/>
    <s v="Premium"/>
    <n v="1"/>
    <n v="0"/>
    <n v="0"/>
    <n v="0"/>
    <n v="0"/>
    <x v="0"/>
    <n v="0"/>
    <m/>
    <n v="79.2"/>
    <x v="0"/>
  </r>
  <r>
    <s v="USR-100410"/>
    <d v="2025-01-13T00:00:00"/>
    <x v="0"/>
    <s v="West"/>
    <x v="1"/>
    <s v="Email"/>
    <s v="Premium"/>
    <n v="1"/>
    <n v="1"/>
    <n v="1"/>
    <n v="0"/>
    <n v="0"/>
    <x v="0"/>
    <n v="0"/>
    <m/>
    <n v="53.3"/>
    <x v="0"/>
  </r>
  <r>
    <s v="USR-100411"/>
    <d v="2025-03-07T00:00:00"/>
    <x v="0"/>
    <s v="North"/>
    <x v="1"/>
    <s v="Referral"/>
    <s v="Premium"/>
    <n v="1"/>
    <n v="1"/>
    <n v="1"/>
    <n v="1"/>
    <n v="2144.8200000000002"/>
    <x v="0"/>
    <n v="0"/>
    <n v="6"/>
    <n v="52.3"/>
    <x v="0"/>
  </r>
  <r>
    <s v="USR-100412"/>
    <d v="2025-02-26T00:00:00"/>
    <x v="0"/>
    <s v="West"/>
    <x v="0"/>
    <s v="Organic"/>
    <s v="Basic"/>
    <n v="1"/>
    <n v="1"/>
    <n v="0"/>
    <n v="0"/>
    <n v="0"/>
    <x v="0"/>
    <n v="0"/>
    <m/>
    <n v="62.4"/>
    <x v="0"/>
  </r>
  <r>
    <s v="USR-100413"/>
    <d v="2025-05-05T00:00:00"/>
    <x v="0"/>
    <s v="North"/>
    <x v="1"/>
    <s v="Referral"/>
    <s v="Premium"/>
    <n v="1"/>
    <n v="0"/>
    <n v="0"/>
    <n v="0"/>
    <n v="0"/>
    <x v="0"/>
    <n v="0"/>
    <m/>
    <n v="45.5"/>
    <x v="0"/>
  </r>
  <r>
    <s v="USR-100414"/>
    <d v="2025-01-08T00:00:00"/>
    <x v="0"/>
    <s v="East"/>
    <x v="0"/>
    <s v="Organic"/>
    <s v="Basic"/>
    <n v="0"/>
    <n v="0"/>
    <n v="0"/>
    <n v="0"/>
    <n v="0"/>
    <x v="1"/>
    <n v="0"/>
    <m/>
    <n v="72.599999999999994"/>
    <x v="0"/>
  </r>
  <r>
    <s v="USR-100415"/>
    <d v="2025-03-19T00:00:00"/>
    <x v="0"/>
    <s v="South"/>
    <x v="1"/>
    <s v="Email"/>
    <s v="Premium"/>
    <n v="1"/>
    <n v="1"/>
    <n v="1"/>
    <n v="0"/>
    <n v="0"/>
    <x v="0"/>
    <n v="0"/>
    <m/>
    <n v="50.1"/>
    <x v="0"/>
  </r>
  <r>
    <s v="USR-100416"/>
    <d v="2025-01-30T00:00:00"/>
    <x v="0"/>
    <s v="East"/>
    <x v="0"/>
    <s v="Paid Search"/>
    <s v="Free"/>
    <n v="1"/>
    <n v="1"/>
    <n v="1"/>
    <n v="0"/>
    <n v="0"/>
    <x v="2"/>
    <n v="0"/>
    <m/>
    <n v="58.1"/>
    <x v="0"/>
  </r>
  <r>
    <s v="USR-100417"/>
    <d v="2025-04-28T00:00:00"/>
    <x v="0"/>
    <s v="East"/>
    <x v="1"/>
    <s v="Organic"/>
    <s v="Basic"/>
    <n v="1"/>
    <n v="0"/>
    <n v="0"/>
    <n v="0"/>
    <n v="0"/>
    <x v="0"/>
    <n v="0"/>
    <m/>
    <n v="42.9"/>
    <x v="0"/>
  </r>
  <r>
    <s v="USR-100418"/>
    <d v="2025-03-07T00:00:00"/>
    <x v="0"/>
    <s v="North"/>
    <x v="1"/>
    <s v="Referral"/>
    <s v="Basic"/>
    <n v="0"/>
    <n v="0"/>
    <n v="0"/>
    <n v="0"/>
    <n v="0"/>
    <x v="0"/>
    <n v="0"/>
    <m/>
    <n v="69.7"/>
    <x v="0"/>
  </r>
  <r>
    <s v="USR-100419"/>
    <d v="2025-04-07T00:00:00"/>
    <x v="0"/>
    <s v="North"/>
    <x v="0"/>
    <s v="Organic"/>
    <s v="Free"/>
    <n v="0"/>
    <n v="0"/>
    <n v="0"/>
    <n v="0"/>
    <n v="0"/>
    <x v="0"/>
    <n v="0"/>
    <m/>
    <n v="63.3"/>
    <x v="0"/>
  </r>
  <r>
    <s v="USR-100420"/>
    <d v="2025-05-08T00:00:00"/>
    <x v="0"/>
    <s v="North"/>
    <x v="0"/>
    <s v="Organic"/>
    <s v="Premium"/>
    <n v="1"/>
    <n v="0"/>
    <n v="0"/>
    <n v="0"/>
    <n v="0"/>
    <x v="0"/>
    <n v="0"/>
    <m/>
    <n v="71.2"/>
    <x v="0"/>
  </r>
  <r>
    <s v="USR-100421"/>
    <d v="2025-04-15T00:00:00"/>
    <x v="0"/>
    <s v="South"/>
    <x v="1"/>
    <s v="Email"/>
    <s v="Free"/>
    <n v="1"/>
    <n v="0"/>
    <n v="0"/>
    <n v="0"/>
    <n v="0"/>
    <x v="0"/>
    <n v="0"/>
    <m/>
    <n v="39.1"/>
    <x v="0"/>
  </r>
  <r>
    <s v="USR-100422"/>
    <d v="2025-04-20T00:00:00"/>
    <x v="0"/>
    <s v="East"/>
    <x v="0"/>
    <s v="Social"/>
    <s v="Free"/>
    <n v="1"/>
    <n v="0"/>
    <n v="0"/>
    <n v="0"/>
    <n v="0"/>
    <x v="0"/>
    <n v="0"/>
    <m/>
    <n v="42.6"/>
    <x v="0"/>
  </r>
  <r>
    <s v="USR-100423"/>
    <d v="2025-05-30T00:00:00"/>
    <x v="0"/>
    <s v="South"/>
    <x v="2"/>
    <s v="Organic"/>
    <s v="Free"/>
    <n v="0"/>
    <n v="0"/>
    <n v="0"/>
    <n v="0"/>
    <n v="0"/>
    <x v="0"/>
    <n v="0"/>
    <m/>
    <n v="74.400000000000006"/>
    <x v="0"/>
  </r>
  <r>
    <s v="USR-100424"/>
    <d v="2025-02-13T00:00:00"/>
    <x v="0"/>
    <s v="West"/>
    <x v="1"/>
    <s v="Referral"/>
    <s v="Free"/>
    <n v="0"/>
    <n v="0"/>
    <n v="0"/>
    <n v="0"/>
    <n v="0"/>
    <x v="0"/>
    <n v="0"/>
    <m/>
    <n v="55.6"/>
    <x v="0"/>
  </r>
  <r>
    <s v="USR-100425"/>
    <d v="2025-04-28T00:00:00"/>
    <x v="0"/>
    <s v="West"/>
    <x v="1"/>
    <s v="Social"/>
    <s v="Free"/>
    <n v="1"/>
    <n v="0"/>
    <n v="0"/>
    <n v="0"/>
    <n v="0"/>
    <x v="0"/>
    <n v="0"/>
    <m/>
    <n v="35.799999999999997"/>
    <x v="0"/>
  </r>
  <r>
    <s v="USR-100426"/>
    <d v="2025-02-12T00:00:00"/>
    <x v="0"/>
    <s v="North"/>
    <x v="1"/>
    <s v="Paid Search"/>
    <s v="Basic"/>
    <n v="1"/>
    <n v="0"/>
    <n v="0"/>
    <n v="0"/>
    <n v="0"/>
    <x v="1"/>
    <n v="0"/>
    <m/>
    <n v="28.2"/>
    <x v="0"/>
  </r>
  <r>
    <s v="USR-100427"/>
    <d v="2025-02-12T00:00:00"/>
    <x v="0"/>
    <s v="East"/>
    <x v="1"/>
    <s v="Organic"/>
    <s v="Free"/>
    <n v="0"/>
    <n v="0"/>
    <n v="0"/>
    <n v="0"/>
    <n v="0"/>
    <x v="2"/>
    <n v="0"/>
    <m/>
    <n v="44.4"/>
    <x v="0"/>
  </r>
  <r>
    <s v="USR-100428"/>
    <d v="2025-03-27T00:00:00"/>
    <x v="0"/>
    <s v="North"/>
    <x v="1"/>
    <s v="Email"/>
    <s v="Premium"/>
    <n v="1"/>
    <n v="0"/>
    <n v="0"/>
    <n v="0"/>
    <n v="0"/>
    <x v="0"/>
    <n v="0"/>
    <m/>
    <n v="49.9"/>
    <x v="0"/>
  </r>
  <r>
    <s v="USR-100429"/>
    <d v="2025-04-12T00:00:00"/>
    <x v="0"/>
    <s v="South"/>
    <x v="0"/>
    <s v="Organic"/>
    <s v="Free"/>
    <n v="0"/>
    <n v="0"/>
    <n v="0"/>
    <n v="0"/>
    <n v="0"/>
    <x v="0"/>
    <n v="0"/>
    <m/>
    <n v="40.4"/>
    <x v="0"/>
  </r>
  <r>
    <s v="USR-100430"/>
    <d v="2025-01-30T00:00:00"/>
    <x v="0"/>
    <s v="West"/>
    <x v="1"/>
    <s v="Social"/>
    <s v="Free"/>
    <n v="0"/>
    <n v="0"/>
    <n v="0"/>
    <n v="0"/>
    <n v="0"/>
    <x v="0"/>
    <n v="0"/>
    <m/>
    <n v="60.4"/>
    <x v="0"/>
  </r>
  <r>
    <s v="USR-100431"/>
    <d v="2025-05-28T00:00:00"/>
    <x v="0"/>
    <s v="West"/>
    <x v="1"/>
    <s v="Social"/>
    <s v="Premium"/>
    <n v="0"/>
    <n v="0"/>
    <n v="0"/>
    <n v="0"/>
    <n v="0"/>
    <x v="1"/>
    <n v="0"/>
    <m/>
    <n v="52.4"/>
    <x v="0"/>
  </r>
  <r>
    <s v="USR-100432"/>
    <d v="2025-05-01T00:00:00"/>
    <x v="0"/>
    <s v="South"/>
    <x v="1"/>
    <s v="Organic"/>
    <s v="Basic"/>
    <n v="1"/>
    <n v="1"/>
    <n v="0"/>
    <n v="0"/>
    <n v="0"/>
    <x v="0"/>
    <n v="0"/>
    <m/>
    <n v="48.8"/>
    <x v="0"/>
  </r>
  <r>
    <s v="USR-100096"/>
    <d v="2025-02-05T00:00:00"/>
    <x v="0"/>
    <s v="East"/>
    <x v="1"/>
    <s v="Social"/>
    <s v="Free"/>
    <n v="0"/>
    <n v="0"/>
    <n v="0"/>
    <n v="0"/>
    <n v="0"/>
    <x v="0"/>
    <n v="0"/>
    <m/>
    <n v="68"/>
    <x v="1"/>
  </r>
  <r>
    <s v="USR-100434"/>
    <d v="2025-01-10T00:00:00"/>
    <x v="0"/>
    <s v="South"/>
    <x v="0"/>
    <s v="Social"/>
    <s v="Basic"/>
    <n v="0"/>
    <n v="0"/>
    <n v="0"/>
    <n v="0"/>
    <n v="0"/>
    <x v="0"/>
    <n v="0"/>
    <m/>
    <n v="68.2"/>
    <x v="0"/>
  </r>
  <r>
    <s v="USR-100435"/>
    <d v="2025-05-02T00:00:00"/>
    <x v="0"/>
    <s v="North"/>
    <x v="0"/>
    <s v="Organic"/>
    <s v="Basic"/>
    <n v="1"/>
    <n v="0"/>
    <n v="0"/>
    <n v="0"/>
    <n v="0"/>
    <x v="0"/>
    <n v="0"/>
    <m/>
    <n v="65.599999999999994"/>
    <x v="0"/>
  </r>
  <r>
    <s v="USR-100436"/>
    <d v="2025-05-26T00:00:00"/>
    <x v="0"/>
    <s v="North"/>
    <x v="0"/>
    <s v="Organic"/>
    <s v="Basic"/>
    <n v="1"/>
    <n v="0"/>
    <n v="0"/>
    <n v="0"/>
    <n v="0"/>
    <x v="0"/>
    <n v="0"/>
    <m/>
    <n v="65.400000000000006"/>
    <x v="0"/>
  </r>
  <r>
    <s v="USR-100437"/>
    <d v="2025-01-12T00:00:00"/>
    <x v="0"/>
    <s v="West"/>
    <x v="1"/>
    <s v="Organic"/>
    <s v="Basic"/>
    <n v="1"/>
    <n v="0"/>
    <n v="0"/>
    <n v="0"/>
    <n v="0"/>
    <x v="0"/>
    <n v="0"/>
    <m/>
    <n v="78.900000000000006"/>
    <x v="0"/>
  </r>
  <r>
    <s v="USR-100438"/>
    <d v="2025-05-27T00:00:00"/>
    <x v="0"/>
    <s v="East"/>
    <x v="1"/>
    <s v="Paid Search"/>
    <s v="Basic"/>
    <n v="1"/>
    <n v="1"/>
    <n v="1"/>
    <n v="0"/>
    <n v="0"/>
    <x v="0"/>
    <n v="0"/>
    <m/>
    <n v="78.3"/>
    <x v="0"/>
  </r>
  <r>
    <s v="USR-100439"/>
    <d v="2025-05-22T00:00:00"/>
    <x v="0"/>
    <s v="West"/>
    <x v="0"/>
    <s v="Email"/>
    <s v="Basic"/>
    <n v="0"/>
    <n v="0"/>
    <n v="0"/>
    <n v="0"/>
    <n v="0"/>
    <x v="0"/>
    <n v="0"/>
    <m/>
    <n v="49.2"/>
    <x v="0"/>
  </r>
  <r>
    <s v="USR-100440"/>
    <d v="2025-04-01T00:00:00"/>
    <x v="0"/>
    <s v="East"/>
    <x v="1"/>
    <s v="Social"/>
    <s v="Premium"/>
    <n v="1"/>
    <n v="1"/>
    <n v="1"/>
    <n v="1"/>
    <n v="1518.83"/>
    <x v="0"/>
    <n v="0"/>
    <n v="9"/>
    <n v="32.200000000000003"/>
    <x v="0"/>
  </r>
  <r>
    <s v="USR-100441"/>
    <d v="2025-01-22T00:00:00"/>
    <x v="0"/>
    <s v="North"/>
    <x v="1"/>
    <s v="Paid Search"/>
    <s v="Basic"/>
    <n v="1"/>
    <n v="1"/>
    <n v="1"/>
    <n v="0"/>
    <n v="0"/>
    <x v="0"/>
    <n v="0"/>
    <m/>
    <n v="46.3"/>
    <x v="0"/>
  </r>
  <r>
    <s v="USR-100442"/>
    <d v="2025-05-24T00:00:00"/>
    <x v="0"/>
    <s v="East"/>
    <x v="1"/>
    <s v="Paid Search"/>
    <s v="Basic"/>
    <n v="1"/>
    <n v="0"/>
    <n v="0"/>
    <n v="0"/>
    <n v="0"/>
    <x v="0"/>
    <n v="0"/>
    <m/>
    <n v="55.7"/>
    <x v="0"/>
  </r>
  <r>
    <s v="USR-100443"/>
    <d v="2025-04-25T00:00:00"/>
    <x v="0"/>
    <s v="South"/>
    <x v="1"/>
    <s v="Social"/>
    <s v="Free"/>
    <n v="1"/>
    <n v="0"/>
    <n v="0"/>
    <n v="0"/>
    <n v="0"/>
    <x v="0"/>
    <n v="0"/>
    <m/>
    <n v="44.5"/>
    <x v="0"/>
  </r>
  <r>
    <s v="USR-100444"/>
    <d v="2025-04-12T00:00:00"/>
    <x v="0"/>
    <s v="West"/>
    <x v="0"/>
    <s v="Referral"/>
    <s v="Free"/>
    <n v="1"/>
    <n v="1"/>
    <n v="1"/>
    <n v="0"/>
    <n v="0"/>
    <x v="1"/>
    <n v="0"/>
    <m/>
    <n v="47.9"/>
    <x v="0"/>
  </r>
  <r>
    <s v="USR-100445"/>
    <d v="2025-04-23T00:00:00"/>
    <x v="0"/>
    <s v="South"/>
    <x v="1"/>
    <s v="Organic"/>
    <s v="Premium"/>
    <n v="1"/>
    <n v="0"/>
    <n v="0"/>
    <n v="0"/>
    <n v="0"/>
    <x v="0"/>
    <n v="0"/>
    <m/>
    <n v="43.9"/>
    <x v="0"/>
  </r>
  <r>
    <s v="USR-100446"/>
    <d v="2025-03-30T00:00:00"/>
    <x v="0"/>
    <s v="North"/>
    <x v="0"/>
    <s v="Referral"/>
    <s v="Free"/>
    <n v="1"/>
    <n v="1"/>
    <n v="1"/>
    <n v="0"/>
    <n v="0"/>
    <x v="1"/>
    <n v="0"/>
    <m/>
    <n v="67.7"/>
    <x v="0"/>
  </r>
  <r>
    <s v="USR-100447"/>
    <d v="2025-01-18T00:00:00"/>
    <x v="0"/>
    <s v="East"/>
    <x v="1"/>
    <s v="Referral"/>
    <s v="Basic"/>
    <n v="0"/>
    <n v="0"/>
    <n v="0"/>
    <n v="0"/>
    <n v="0"/>
    <x v="0"/>
    <n v="0"/>
    <m/>
    <n v="43.7"/>
    <x v="0"/>
  </r>
  <r>
    <s v="USR-100448"/>
    <d v="2025-04-09T00:00:00"/>
    <x v="0"/>
    <s v="East"/>
    <x v="1"/>
    <s v="Organic"/>
    <s v="Free"/>
    <n v="1"/>
    <n v="0"/>
    <n v="0"/>
    <n v="0"/>
    <n v="0"/>
    <x v="0"/>
    <n v="0"/>
    <m/>
    <n v="68.8"/>
    <x v="0"/>
  </r>
  <r>
    <s v="USR-100449"/>
    <d v="2025-01-11T00:00:00"/>
    <x v="0"/>
    <s v="West"/>
    <x v="1"/>
    <s v="Organic"/>
    <s v="Free"/>
    <n v="1"/>
    <n v="1"/>
    <n v="1"/>
    <n v="0"/>
    <n v="0"/>
    <x v="0"/>
    <n v="0"/>
    <m/>
    <n v="59.2"/>
    <x v="0"/>
  </r>
  <r>
    <s v="USR-100450"/>
    <d v="2025-03-05T00:00:00"/>
    <x v="0"/>
    <s v="East"/>
    <x v="1"/>
    <s v="Paid Search"/>
    <s v="Free"/>
    <n v="1"/>
    <n v="0"/>
    <n v="0"/>
    <n v="0"/>
    <n v="0"/>
    <x v="0"/>
    <n v="0"/>
    <m/>
    <n v="48.6"/>
    <x v="0"/>
  </r>
  <r>
    <s v="USR-100451"/>
    <d v="2025-02-17T00:00:00"/>
    <x v="0"/>
    <s v="North"/>
    <x v="2"/>
    <s v="Social"/>
    <s v="Free"/>
    <n v="1"/>
    <n v="1"/>
    <n v="1"/>
    <n v="0"/>
    <n v="0"/>
    <x v="0"/>
    <n v="0"/>
    <m/>
    <n v="56.9"/>
    <x v="0"/>
  </r>
  <r>
    <s v="USR-100452"/>
    <d v="2025-05-07T00:00:00"/>
    <x v="0"/>
    <s v="North"/>
    <x v="0"/>
    <s v="Paid Search"/>
    <s v="Free"/>
    <n v="0"/>
    <n v="0"/>
    <n v="0"/>
    <n v="0"/>
    <n v="0"/>
    <x v="0"/>
    <n v="0"/>
    <m/>
    <n v="55.8"/>
    <x v="0"/>
  </r>
  <r>
    <s v="USR-100453"/>
    <d v="2025-04-10T00:00:00"/>
    <x v="0"/>
    <s v="East"/>
    <x v="1"/>
    <s v="Paid Search"/>
    <s v="Premium"/>
    <n v="0"/>
    <n v="0"/>
    <n v="0"/>
    <n v="0"/>
    <n v="0"/>
    <x v="0"/>
    <n v="0"/>
    <m/>
    <n v="63.3"/>
    <x v="0"/>
  </r>
  <r>
    <s v="USR-100454"/>
    <d v="2025-04-21T00:00:00"/>
    <x v="0"/>
    <s v="North"/>
    <x v="1"/>
    <s v="Social"/>
    <s v="Free"/>
    <n v="1"/>
    <n v="0"/>
    <n v="0"/>
    <n v="0"/>
    <n v="0"/>
    <x v="0"/>
    <n v="0"/>
    <m/>
    <n v="52.2"/>
    <x v="0"/>
  </r>
  <r>
    <s v="USR-100455"/>
    <d v="2025-02-25T00:00:00"/>
    <x v="0"/>
    <s v="South"/>
    <x v="2"/>
    <m/>
    <s v="Free"/>
    <n v="0"/>
    <n v="0"/>
    <n v="0"/>
    <n v="0"/>
    <n v="0"/>
    <x v="0"/>
    <n v="0"/>
    <m/>
    <n v="51.5"/>
    <x v="0"/>
  </r>
  <r>
    <s v="USR-100456"/>
    <d v="2025-05-14T00:00:00"/>
    <x v="0"/>
    <s v="East"/>
    <x v="0"/>
    <s v="Organic"/>
    <s v="Free"/>
    <n v="0"/>
    <n v="0"/>
    <n v="0"/>
    <n v="0"/>
    <n v="0"/>
    <x v="0"/>
    <n v="0"/>
    <m/>
    <n v="50.3"/>
    <x v="0"/>
  </r>
  <r>
    <s v="USR-100457"/>
    <d v="2025-03-10T00:00:00"/>
    <x v="0"/>
    <s v="North"/>
    <x v="1"/>
    <s v="Email"/>
    <s v="Basic"/>
    <n v="1"/>
    <n v="0"/>
    <n v="0"/>
    <n v="0"/>
    <n v="0"/>
    <x v="1"/>
    <n v="0"/>
    <m/>
    <n v="35.4"/>
    <x v="0"/>
  </r>
  <r>
    <s v="USR-100458"/>
    <d v="2025-01-31T00:00:00"/>
    <x v="0"/>
    <s v="West"/>
    <x v="0"/>
    <s v="Organic"/>
    <s v="Premium"/>
    <n v="1"/>
    <n v="0"/>
    <n v="0"/>
    <n v="0"/>
    <n v="0"/>
    <x v="1"/>
    <n v="0"/>
    <m/>
    <n v="54.1"/>
    <x v="0"/>
  </r>
  <r>
    <s v="USR-100459"/>
    <d v="2025-01-17T00:00:00"/>
    <x v="0"/>
    <s v="South"/>
    <x v="1"/>
    <s v="Organic"/>
    <s v="Premium"/>
    <n v="1"/>
    <n v="0"/>
    <n v="0"/>
    <n v="0"/>
    <n v="0"/>
    <x v="0"/>
    <n v="0"/>
    <m/>
    <n v="56.2"/>
    <x v="0"/>
  </r>
  <r>
    <s v="USR-100460"/>
    <d v="2025-03-12T00:00:00"/>
    <x v="0"/>
    <s v="South"/>
    <x v="1"/>
    <s v="Paid Search"/>
    <s v="Free"/>
    <n v="0"/>
    <n v="0"/>
    <n v="0"/>
    <n v="0"/>
    <n v="0"/>
    <x v="3"/>
    <n v="0"/>
    <m/>
    <n v="43.7"/>
    <x v="0"/>
  </r>
  <r>
    <s v="USR-100461"/>
    <d v="2025-02-28T00:00:00"/>
    <x v="0"/>
    <s v="West"/>
    <x v="0"/>
    <s v="Organic"/>
    <s v="Premium"/>
    <n v="1"/>
    <n v="1"/>
    <n v="0"/>
    <n v="0"/>
    <n v="0"/>
    <x v="0"/>
    <n v="0"/>
    <m/>
    <n v="51.3"/>
    <x v="0"/>
  </r>
  <r>
    <s v="USR-100462"/>
    <d v="2025-05-19T00:00:00"/>
    <x v="0"/>
    <s v="North"/>
    <x v="3"/>
    <s v="Organic"/>
    <s v="Basic"/>
    <n v="1"/>
    <n v="0"/>
    <n v="0"/>
    <n v="0"/>
    <n v="0"/>
    <x v="0"/>
    <n v="0"/>
    <m/>
    <n v="50.5"/>
    <x v="0"/>
  </r>
  <r>
    <s v="USR-100463"/>
    <d v="2025-02-23T00:00:00"/>
    <x v="0"/>
    <s v="North"/>
    <x v="1"/>
    <s v="Referral"/>
    <s v="Basic"/>
    <n v="1"/>
    <n v="0"/>
    <n v="0"/>
    <n v="0"/>
    <n v="0"/>
    <x v="0"/>
    <n v="0"/>
    <m/>
    <n v="57.3"/>
    <x v="0"/>
  </r>
  <r>
    <s v="USR-100464"/>
    <d v="2025-02-20T00:00:00"/>
    <x v="0"/>
    <s v="West"/>
    <x v="0"/>
    <s v="Organic"/>
    <s v="Free"/>
    <n v="1"/>
    <n v="1"/>
    <n v="1"/>
    <n v="0"/>
    <n v="0"/>
    <x v="0"/>
    <n v="0"/>
    <m/>
    <n v="58.4"/>
    <x v="0"/>
  </r>
  <r>
    <s v="USR-100465"/>
    <d v="2025-04-12T00:00:00"/>
    <x v="0"/>
    <s v="North"/>
    <x v="1"/>
    <m/>
    <s v="Free"/>
    <n v="0"/>
    <n v="0"/>
    <n v="0"/>
    <n v="0"/>
    <n v="0"/>
    <x v="0"/>
    <n v="0"/>
    <m/>
    <n v="56.5"/>
    <x v="0"/>
  </r>
  <r>
    <s v="USR-100466"/>
    <d v="2025-01-08T00:00:00"/>
    <x v="0"/>
    <s v="West"/>
    <x v="1"/>
    <s v="Email"/>
    <s v="Free"/>
    <n v="0"/>
    <n v="0"/>
    <n v="0"/>
    <n v="0"/>
    <n v="0"/>
    <x v="0"/>
    <n v="0"/>
    <m/>
    <n v="69.599999999999994"/>
    <x v="0"/>
  </r>
  <r>
    <s v="USR-100467"/>
    <d v="2025-02-13T00:00:00"/>
    <x v="0"/>
    <s v="West"/>
    <x v="1"/>
    <s v="Organic"/>
    <s v="Basic"/>
    <n v="0"/>
    <n v="0"/>
    <n v="0"/>
    <n v="0"/>
    <n v="0"/>
    <x v="0"/>
    <n v="0"/>
    <m/>
    <n v="6.2"/>
    <x v="0"/>
  </r>
  <r>
    <s v="USR-100468"/>
    <d v="2025-05-21T00:00:00"/>
    <x v="0"/>
    <s v="East"/>
    <x v="0"/>
    <s v="Email"/>
    <s v="Free"/>
    <n v="1"/>
    <n v="1"/>
    <n v="1"/>
    <n v="0"/>
    <n v="0"/>
    <x v="0"/>
    <n v="0"/>
    <m/>
    <n v="54.3"/>
    <x v="0"/>
  </r>
  <r>
    <s v="USR-100469"/>
    <d v="2025-05-30T00:00:00"/>
    <x v="0"/>
    <s v="North"/>
    <x v="1"/>
    <s v="Organic"/>
    <s v="Basic"/>
    <n v="0"/>
    <n v="0"/>
    <n v="0"/>
    <n v="0"/>
    <n v="0"/>
    <x v="0"/>
    <n v="0"/>
    <m/>
    <n v="59.8"/>
    <x v="0"/>
  </r>
  <r>
    <s v="USR-100470"/>
    <d v="2025-05-20T00:00:00"/>
    <x v="0"/>
    <s v="West"/>
    <x v="1"/>
    <s v="Paid Search"/>
    <s v="Free"/>
    <n v="0"/>
    <n v="0"/>
    <n v="0"/>
    <n v="0"/>
    <n v="0"/>
    <x v="0"/>
    <n v="0"/>
    <m/>
    <n v="58.9"/>
    <x v="0"/>
  </r>
  <r>
    <s v="USR-100471"/>
    <d v="2025-01-09T00:00:00"/>
    <x v="0"/>
    <s v="East"/>
    <x v="0"/>
    <s v="Organic"/>
    <s v="Free"/>
    <n v="0"/>
    <n v="0"/>
    <n v="0"/>
    <n v="0"/>
    <n v="0"/>
    <x v="1"/>
    <n v="0"/>
    <m/>
    <n v="52.9"/>
    <x v="0"/>
  </r>
  <r>
    <s v="USR-100472"/>
    <d v="2025-03-07T00:00:00"/>
    <x v="0"/>
    <s v="West"/>
    <x v="1"/>
    <s v="Organic"/>
    <s v="Free"/>
    <n v="0"/>
    <n v="0"/>
    <n v="0"/>
    <n v="0"/>
    <n v="0"/>
    <x v="0"/>
    <n v="0"/>
    <m/>
    <n v="67.8"/>
    <x v="0"/>
  </r>
  <r>
    <s v="USR-100473"/>
    <d v="2025-04-23T00:00:00"/>
    <x v="0"/>
    <s v="South"/>
    <x v="1"/>
    <s v="Social"/>
    <s v="Free"/>
    <n v="0"/>
    <n v="0"/>
    <n v="0"/>
    <n v="0"/>
    <n v="0"/>
    <x v="0"/>
    <n v="0"/>
    <m/>
    <n v="48.7"/>
    <x v="0"/>
  </r>
  <r>
    <s v="USR-100474"/>
    <d v="2025-03-08T00:00:00"/>
    <x v="0"/>
    <s v="East"/>
    <x v="1"/>
    <s v="Organic"/>
    <s v="Basic"/>
    <n v="0"/>
    <n v="0"/>
    <n v="0"/>
    <n v="0"/>
    <n v="0"/>
    <x v="0"/>
    <n v="0"/>
    <m/>
    <n v="59"/>
    <x v="0"/>
  </r>
  <r>
    <s v="USR-100475"/>
    <d v="2025-02-14T00:00:00"/>
    <x v="0"/>
    <s v="South"/>
    <x v="1"/>
    <s v="Referral"/>
    <s v="Free"/>
    <n v="0"/>
    <n v="0"/>
    <n v="0"/>
    <n v="0"/>
    <n v="0"/>
    <x v="0"/>
    <n v="0"/>
    <m/>
    <n v="63.2"/>
    <x v="0"/>
  </r>
  <r>
    <s v="USR-100476"/>
    <d v="2025-05-17T00:00:00"/>
    <x v="0"/>
    <s v="West"/>
    <x v="1"/>
    <s v="Referral"/>
    <s v="Basic"/>
    <n v="1"/>
    <n v="0"/>
    <n v="0"/>
    <n v="0"/>
    <n v="0"/>
    <x v="0"/>
    <n v="0"/>
    <m/>
    <n v="68.7"/>
    <x v="0"/>
  </r>
  <r>
    <s v="USR-100477"/>
    <d v="2025-04-25T00:00:00"/>
    <x v="0"/>
    <s v="South"/>
    <x v="1"/>
    <s v="Referral"/>
    <s v="Free"/>
    <n v="0"/>
    <n v="0"/>
    <n v="0"/>
    <n v="0"/>
    <n v="0"/>
    <x v="0"/>
    <n v="0"/>
    <m/>
    <n v="52.1"/>
    <x v="0"/>
  </r>
  <r>
    <s v="USR-100478"/>
    <d v="2025-03-04T00:00:00"/>
    <x v="0"/>
    <s v="South"/>
    <x v="0"/>
    <s v="Social"/>
    <s v="Basic"/>
    <n v="0"/>
    <n v="0"/>
    <n v="0"/>
    <n v="0"/>
    <n v="0"/>
    <x v="0"/>
    <n v="0"/>
    <m/>
    <n v="56.5"/>
    <x v="0"/>
  </r>
  <r>
    <s v="USR-100479"/>
    <d v="2025-03-18T00:00:00"/>
    <x v="0"/>
    <s v="South"/>
    <x v="1"/>
    <s v="Organic"/>
    <s v="Free"/>
    <n v="1"/>
    <n v="0"/>
    <n v="0"/>
    <n v="0"/>
    <n v="0"/>
    <x v="0"/>
    <n v="0"/>
    <m/>
    <n v="64.400000000000006"/>
    <x v="0"/>
  </r>
  <r>
    <s v="USR-100480"/>
    <d v="2025-01-30T00:00:00"/>
    <x v="0"/>
    <s v="West"/>
    <x v="1"/>
    <s v="Paid Search"/>
    <s v="Premium"/>
    <n v="1"/>
    <n v="0"/>
    <n v="0"/>
    <n v="0"/>
    <n v="0"/>
    <x v="0"/>
    <n v="0"/>
    <m/>
    <n v="65.900000000000006"/>
    <x v="0"/>
  </r>
  <r>
    <s v="USR-100481"/>
    <d v="2025-05-20T00:00:00"/>
    <x v="0"/>
    <s v="West"/>
    <x v="2"/>
    <s v="Referral"/>
    <s v="Free"/>
    <n v="1"/>
    <n v="1"/>
    <n v="1"/>
    <n v="0"/>
    <n v="0"/>
    <x v="0"/>
    <n v="0"/>
    <m/>
    <n v="100"/>
    <x v="0"/>
  </r>
  <r>
    <s v="USR-100482"/>
    <d v="2025-02-13T00:00:00"/>
    <x v="0"/>
    <s v="North"/>
    <x v="3"/>
    <s v="Organic"/>
    <s v="Basic"/>
    <n v="1"/>
    <n v="1"/>
    <n v="1"/>
    <n v="0"/>
    <n v="0"/>
    <x v="0"/>
    <n v="0"/>
    <m/>
    <n v="50.4"/>
    <x v="0"/>
  </r>
  <r>
    <s v="USR-100483"/>
    <d v="2025-04-12T00:00:00"/>
    <x v="0"/>
    <s v="West"/>
    <x v="0"/>
    <s v="Organic"/>
    <s v="Basic"/>
    <n v="0"/>
    <n v="0"/>
    <n v="0"/>
    <n v="0"/>
    <n v="0"/>
    <x v="0"/>
    <n v="0"/>
    <m/>
    <n v="41.5"/>
    <x v="0"/>
  </r>
  <r>
    <s v="USR-100484"/>
    <d v="2025-04-07T00:00:00"/>
    <x v="0"/>
    <s v="North"/>
    <x v="1"/>
    <s v="Email"/>
    <s v="Free"/>
    <n v="0"/>
    <n v="0"/>
    <n v="0"/>
    <n v="0"/>
    <n v="0"/>
    <x v="0"/>
    <n v="0"/>
    <m/>
    <n v="86.2"/>
    <x v="0"/>
  </r>
  <r>
    <s v="USR-100485"/>
    <d v="2025-03-12T00:00:00"/>
    <x v="0"/>
    <s v="North"/>
    <x v="0"/>
    <s v="Social"/>
    <s v="Free"/>
    <n v="1"/>
    <n v="1"/>
    <n v="1"/>
    <n v="0"/>
    <n v="0"/>
    <x v="2"/>
    <n v="0"/>
    <m/>
    <n v="50.8"/>
    <x v="0"/>
  </r>
  <r>
    <s v="USR-100486"/>
    <d v="2025-02-07T00:00:00"/>
    <x v="0"/>
    <s v="West"/>
    <x v="1"/>
    <s v="Organic"/>
    <s v="Free"/>
    <n v="1"/>
    <n v="0"/>
    <n v="0"/>
    <n v="0"/>
    <n v="0"/>
    <x v="0"/>
    <n v="0"/>
    <m/>
    <n v="50.9"/>
    <x v="0"/>
  </r>
  <r>
    <s v="USR-100487"/>
    <d v="2025-05-05T00:00:00"/>
    <x v="0"/>
    <s v="North"/>
    <x v="1"/>
    <s v="Organic"/>
    <s v="Premium"/>
    <n v="1"/>
    <n v="1"/>
    <n v="0"/>
    <n v="0"/>
    <n v="0"/>
    <x v="0"/>
    <n v="0"/>
    <m/>
    <n v="87.5"/>
    <x v="0"/>
  </r>
  <r>
    <s v="USR-100488"/>
    <d v="2025-03-18T00:00:00"/>
    <x v="0"/>
    <s v="South"/>
    <x v="1"/>
    <s v="Referral"/>
    <s v="Free"/>
    <n v="0"/>
    <n v="0"/>
    <n v="0"/>
    <n v="0"/>
    <n v="0"/>
    <x v="0"/>
    <n v="0"/>
    <m/>
    <n v="43.6"/>
    <x v="0"/>
  </r>
  <r>
    <s v="USR-100489"/>
    <d v="2025-01-05T00:00:00"/>
    <x v="0"/>
    <s v="South"/>
    <x v="1"/>
    <s v="Paid Search"/>
    <s v="Basic"/>
    <n v="1"/>
    <n v="0"/>
    <n v="0"/>
    <n v="0"/>
    <n v="0"/>
    <x v="0"/>
    <n v="0"/>
    <m/>
    <n v="55.5"/>
    <x v="0"/>
  </r>
  <r>
    <s v="USR-100490"/>
    <d v="2025-05-10T00:00:00"/>
    <x v="0"/>
    <s v="South"/>
    <x v="0"/>
    <s v="Referral"/>
    <s v="Basic"/>
    <n v="0"/>
    <n v="0"/>
    <n v="0"/>
    <n v="0"/>
    <n v="0"/>
    <x v="0"/>
    <n v="0"/>
    <m/>
    <n v="78.599999999999994"/>
    <x v="0"/>
  </r>
  <r>
    <s v="USR-100491"/>
    <d v="2025-01-03T00:00:00"/>
    <x v="0"/>
    <s v="South"/>
    <x v="1"/>
    <s v="Social"/>
    <s v="Basic"/>
    <n v="1"/>
    <n v="1"/>
    <n v="0"/>
    <n v="0"/>
    <n v="0"/>
    <x v="1"/>
    <n v="0"/>
    <m/>
    <n v="44.3"/>
    <x v="0"/>
  </r>
  <r>
    <s v="USR-100492"/>
    <d v="2025-05-08T00:00:00"/>
    <x v="0"/>
    <s v="South"/>
    <x v="1"/>
    <s v="Paid Search"/>
    <s v="Free"/>
    <n v="1"/>
    <n v="1"/>
    <n v="0"/>
    <n v="0"/>
    <n v="0"/>
    <x v="0"/>
    <n v="0"/>
    <m/>
    <n v="45.2"/>
    <x v="0"/>
  </r>
  <r>
    <s v="USR-100493"/>
    <d v="2025-03-05T00:00:00"/>
    <x v="0"/>
    <s v="South"/>
    <x v="0"/>
    <s v="Email"/>
    <s v="Basic"/>
    <n v="1"/>
    <n v="0"/>
    <n v="0"/>
    <n v="0"/>
    <n v="0"/>
    <x v="2"/>
    <n v="0"/>
    <m/>
    <n v="46.1"/>
    <x v="0"/>
  </r>
  <r>
    <s v="USR-100494"/>
    <d v="2025-02-17T00:00:00"/>
    <x v="0"/>
    <s v="North"/>
    <x v="1"/>
    <s v="Organic"/>
    <s v="Premium"/>
    <n v="1"/>
    <n v="0"/>
    <n v="0"/>
    <n v="0"/>
    <n v="0"/>
    <x v="0"/>
    <n v="0"/>
    <m/>
    <n v="49.6"/>
    <x v="0"/>
  </r>
  <r>
    <s v="USR-100495"/>
    <d v="2025-01-09T00:00:00"/>
    <x v="0"/>
    <s v="South"/>
    <x v="1"/>
    <s v="Referral"/>
    <s v="Basic"/>
    <n v="0"/>
    <n v="0"/>
    <n v="0"/>
    <n v="0"/>
    <n v="0"/>
    <x v="0"/>
    <n v="0"/>
    <m/>
    <n v="70.5"/>
    <x v="0"/>
  </r>
  <r>
    <s v="USR-100496"/>
    <d v="2025-05-05T00:00:00"/>
    <x v="0"/>
    <s v="South"/>
    <x v="1"/>
    <s v="Email"/>
    <s v="Basic"/>
    <n v="0"/>
    <n v="0"/>
    <n v="0"/>
    <n v="0"/>
    <n v="0"/>
    <x v="1"/>
    <n v="0"/>
    <m/>
    <n v="60.8"/>
    <x v="0"/>
  </r>
  <r>
    <s v="USR-100497"/>
    <d v="2025-04-16T00:00:00"/>
    <x v="0"/>
    <s v="East"/>
    <x v="1"/>
    <s v="Email"/>
    <s v="Basic"/>
    <n v="0"/>
    <n v="0"/>
    <n v="0"/>
    <n v="0"/>
    <n v="0"/>
    <x v="1"/>
    <n v="0"/>
    <m/>
    <n v="50.5"/>
    <x v="0"/>
  </r>
  <r>
    <s v="USR-100498"/>
    <d v="2025-03-02T00:00:00"/>
    <x v="0"/>
    <s v="South"/>
    <x v="0"/>
    <s v="Organic"/>
    <s v="Free"/>
    <n v="1"/>
    <n v="0"/>
    <n v="0"/>
    <n v="0"/>
    <n v="0"/>
    <x v="0"/>
    <n v="0"/>
    <m/>
    <n v="54.9"/>
    <x v="0"/>
  </r>
  <r>
    <s v="USR-100499"/>
    <d v="2025-04-14T00:00:00"/>
    <x v="0"/>
    <s v="South"/>
    <x v="1"/>
    <s v="Social"/>
    <s v="Premium"/>
    <n v="0"/>
    <n v="0"/>
    <n v="0"/>
    <n v="0"/>
    <n v="0"/>
    <x v="0"/>
    <n v="0"/>
    <m/>
    <n v="29.9"/>
    <x v="0"/>
  </r>
  <r>
    <s v="USR-100500"/>
    <d v="2025-02-15T00:00:00"/>
    <x v="0"/>
    <s v="East"/>
    <x v="0"/>
    <s v="Paid Search"/>
    <s v="Basic"/>
    <n v="0"/>
    <n v="0"/>
    <n v="0"/>
    <n v="0"/>
    <n v="0"/>
    <x v="0"/>
    <n v="0"/>
    <m/>
    <n v="48.3"/>
    <x v="0"/>
  </r>
  <r>
    <s v="USR-100501"/>
    <d v="2025-02-13T00:00:00"/>
    <x v="0"/>
    <s v="West"/>
    <x v="1"/>
    <s v="Social"/>
    <s v="Free"/>
    <n v="1"/>
    <n v="1"/>
    <n v="1"/>
    <n v="1"/>
    <n v="513.61"/>
    <x v="0"/>
    <n v="0"/>
    <n v="7"/>
    <n v="41.3"/>
    <x v="0"/>
  </r>
  <r>
    <s v="USR-100502"/>
    <d v="2025-03-06T00:00:00"/>
    <x v="0"/>
    <s v="North"/>
    <x v="1"/>
    <s v="Email"/>
    <s v="Free"/>
    <n v="0"/>
    <n v="0"/>
    <n v="0"/>
    <n v="0"/>
    <n v="0"/>
    <x v="0"/>
    <n v="0"/>
    <m/>
    <n v="61.4"/>
    <x v="0"/>
  </r>
  <r>
    <s v="USR-100503"/>
    <d v="2025-02-18T00:00:00"/>
    <x v="0"/>
    <s v="South"/>
    <x v="0"/>
    <s v="Social"/>
    <s v="Free"/>
    <n v="0"/>
    <n v="0"/>
    <n v="0"/>
    <n v="0"/>
    <n v="0"/>
    <x v="0"/>
    <n v="0"/>
    <m/>
    <n v="57.8"/>
    <x v="0"/>
  </r>
  <r>
    <s v="USR-100504"/>
    <d v="2025-04-07T00:00:00"/>
    <x v="0"/>
    <s v="North"/>
    <x v="0"/>
    <s v="Organic"/>
    <s v="Free"/>
    <n v="0"/>
    <n v="0"/>
    <n v="0"/>
    <n v="0"/>
    <n v="0"/>
    <x v="0"/>
    <n v="0"/>
    <m/>
    <n v="78.2"/>
    <x v="0"/>
  </r>
  <r>
    <s v="USR-100505"/>
    <d v="2025-04-06T00:00:00"/>
    <x v="0"/>
    <s v="North"/>
    <x v="1"/>
    <s v="Referral"/>
    <s v="Free"/>
    <n v="0"/>
    <n v="0"/>
    <n v="0"/>
    <n v="0"/>
    <n v="0"/>
    <x v="0"/>
    <n v="0"/>
    <m/>
    <n v="63.8"/>
    <x v="0"/>
  </r>
  <r>
    <s v="USR-100506"/>
    <d v="2025-01-30T00:00:00"/>
    <x v="0"/>
    <s v="North"/>
    <x v="0"/>
    <s v="Social"/>
    <s v="Free"/>
    <n v="1"/>
    <n v="0"/>
    <n v="0"/>
    <n v="0"/>
    <n v="0"/>
    <x v="0"/>
    <n v="0"/>
    <m/>
    <n v="56.8"/>
    <x v="0"/>
  </r>
  <r>
    <s v="USR-100507"/>
    <d v="2025-05-13T00:00:00"/>
    <x v="0"/>
    <s v="South"/>
    <x v="0"/>
    <s v="Organic"/>
    <s v="Basic"/>
    <n v="1"/>
    <n v="1"/>
    <n v="0"/>
    <n v="0"/>
    <n v="0"/>
    <x v="0"/>
    <n v="0"/>
    <m/>
    <n v="59.6"/>
    <x v="0"/>
  </r>
  <r>
    <s v="USR-100508"/>
    <d v="2025-01-20T00:00:00"/>
    <x v="0"/>
    <s v="West"/>
    <x v="1"/>
    <s v="Paid Search"/>
    <s v="Premium"/>
    <n v="1"/>
    <n v="1"/>
    <n v="0"/>
    <n v="0"/>
    <n v="0"/>
    <x v="0"/>
    <n v="0"/>
    <m/>
    <n v="50"/>
    <x v="0"/>
  </r>
  <r>
    <s v="USR-100509"/>
    <d v="2025-01-30T00:00:00"/>
    <x v="0"/>
    <s v="North"/>
    <x v="2"/>
    <s v="Organic"/>
    <s v="Free"/>
    <n v="1"/>
    <n v="0"/>
    <n v="0"/>
    <n v="0"/>
    <n v="0"/>
    <x v="0"/>
    <n v="0"/>
    <m/>
    <n v="35.700000000000003"/>
    <x v="0"/>
  </r>
  <r>
    <s v="USR-100510"/>
    <d v="2025-01-13T00:00:00"/>
    <x v="0"/>
    <s v="South"/>
    <x v="1"/>
    <s v="Organic"/>
    <s v="Free"/>
    <n v="0"/>
    <n v="0"/>
    <n v="0"/>
    <n v="0"/>
    <n v="0"/>
    <x v="2"/>
    <n v="0"/>
    <m/>
    <n v="47.2"/>
    <x v="0"/>
  </r>
  <r>
    <s v="USR-100511"/>
    <d v="2025-02-11T00:00:00"/>
    <x v="0"/>
    <s v="North"/>
    <x v="1"/>
    <s v="Social"/>
    <s v="Free"/>
    <n v="1"/>
    <n v="1"/>
    <n v="0"/>
    <n v="0"/>
    <n v="0"/>
    <x v="0"/>
    <n v="0"/>
    <m/>
    <n v="56.9"/>
    <x v="0"/>
  </r>
  <r>
    <s v="USR-100512"/>
    <d v="2025-04-15T00:00:00"/>
    <x v="0"/>
    <s v="South"/>
    <x v="1"/>
    <s v="Organic"/>
    <s v="Free"/>
    <n v="0"/>
    <n v="0"/>
    <n v="0"/>
    <n v="0"/>
    <n v="0"/>
    <x v="1"/>
    <n v="0"/>
    <m/>
    <n v="57.2"/>
    <x v="0"/>
  </r>
  <r>
    <s v="USR-100513"/>
    <d v="2025-02-13T00:00:00"/>
    <x v="0"/>
    <s v="South"/>
    <x v="1"/>
    <m/>
    <s v="Free"/>
    <n v="1"/>
    <n v="1"/>
    <n v="0"/>
    <n v="0"/>
    <n v="0"/>
    <x v="0"/>
    <n v="0"/>
    <m/>
    <n v="31.4"/>
    <x v="0"/>
  </r>
  <r>
    <s v="USR-100514"/>
    <d v="2025-05-09T00:00:00"/>
    <x v="0"/>
    <s v="South"/>
    <x v="0"/>
    <s v="Organic"/>
    <s v="Free"/>
    <n v="0"/>
    <n v="0"/>
    <n v="0"/>
    <n v="0"/>
    <n v="0"/>
    <x v="0"/>
    <n v="0"/>
    <m/>
    <n v="71.2"/>
    <x v="0"/>
  </r>
  <r>
    <s v="USR-100515"/>
    <d v="2025-03-10T00:00:00"/>
    <x v="0"/>
    <s v="North"/>
    <x v="1"/>
    <s v="Paid Search"/>
    <s v="Free"/>
    <n v="1"/>
    <n v="1"/>
    <n v="1"/>
    <n v="0"/>
    <n v="0"/>
    <x v="1"/>
    <n v="0"/>
    <m/>
    <n v="38.299999999999997"/>
    <x v="0"/>
  </r>
  <r>
    <s v="USR-100516"/>
    <d v="2025-04-01T00:00:00"/>
    <x v="0"/>
    <s v="North"/>
    <x v="1"/>
    <s v="Organic"/>
    <s v="Free"/>
    <n v="1"/>
    <n v="1"/>
    <n v="0"/>
    <n v="0"/>
    <n v="0"/>
    <x v="0"/>
    <n v="0"/>
    <m/>
    <n v="63.1"/>
    <x v="0"/>
  </r>
  <r>
    <s v="USR-100517"/>
    <d v="2025-05-15T00:00:00"/>
    <x v="0"/>
    <s v="East"/>
    <x v="1"/>
    <s v="Referral"/>
    <s v="Basic"/>
    <n v="1"/>
    <n v="0"/>
    <n v="0"/>
    <n v="0"/>
    <n v="0"/>
    <x v="0"/>
    <n v="0"/>
    <m/>
    <n v="59.7"/>
    <x v="0"/>
  </r>
  <r>
    <s v="USR-100518"/>
    <d v="2025-05-04T00:00:00"/>
    <x v="0"/>
    <s v="South"/>
    <x v="0"/>
    <s v="Social"/>
    <s v="Premium"/>
    <n v="1"/>
    <n v="1"/>
    <n v="1"/>
    <n v="0"/>
    <n v="0"/>
    <x v="0"/>
    <n v="0"/>
    <m/>
    <n v="59.5"/>
    <x v="0"/>
  </r>
  <r>
    <s v="USR-100519"/>
    <d v="2025-05-20T00:00:00"/>
    <x v="0"/>
    <s v="East"/>
    <x v="1"/>
    <s v="Paid Search"/>
    <s v="Free"/>
    <n v="0"/>
    <n v="0"/>
    <n v="0"/>
    <n v="0"/>
    <n v="0"/>
    <x v="0"/>
    <n v="0"/>
    <m/>
    <n v="78.8"/>
    <x v="0"/>
  </r>
  <r>
    <s v="USR-100520"/>
    <d v="2025-05-16T00:00:00"/>
    <x v="0"/>
    <s v="West"/>
    <x v="0"/>
    <s v="Referral"/>
    <s v="Free"/>
    <n v="0"/>
    <n v="0"/>
    <n v="0"/>
    <n v="0"/>
    <n v="0"/>
    <x v="0"/>
    <n v="0"/>
    <m/>
    <n v="54"/>
    <x v="0"/>
  </r>
  <r>
    <s v="USR-100521"/>
    <d v="2025-03-17T00:00:00"/>
    <x v="0"/>
    <s v="West"/>
    <x v="1"/>
    <s v="Organic"/>
    <s v="Free"/>
    <n v="1"/>
    <n v="0"/>
    <n v="0"/>
    <n v="0"/>
    <n v="0"/>
    <x v="0"/>
    <n v="0"/>
    <m/>
    <n v="66.3"/>
    <x v="0"/>
  </r>
  <r>
    <s v="USR-100522"/>
    <d v="2025-01-27T00:00:00"/>
    <x v="0"/>
    <s v="East"/>
    <x v="2"/>
    <s v="Paid Search"/>
    <s v="Free"/>
    <n v="1"/>
    <n v="1"/>
    <n v="0"/>
    <n v="0"/>
    <n v="0"/>
    <x v="0"/>
    <n v="0"/>
    <m/>
    <n v="54.7"/>
    <x v="0"/>
  </r>
  <r>
    <s v="USR-100523"/>
    <d v="2025-04-13T00:00:00"/>
    <x v="0"/>
    <s v="South"/>
    <x v="1"/>
    <s v="Organic"/>
    <s v="Basic"/>
    <n v="1"/>
    <n v="0"/>
    <n v="0"/>
    <n v="0"/>
    <n v="0"/>
    <x v="0"/>
    <n v="0"/>
    <m/>
    <n v="76.7"/>
    <x v="0"/>
  </r>
  <r>
    <s v="USR-100524"/>
    <d v="2025-05-03T00:00:00"/>
    <x v="0"/>
    <s v="South"/>
    <x v="0"/>
    <s v="Email"/>
    <s v="Basic"/>
    <n v="1"/>
    <n v="0"/>
    <n v="0"/>
    <n v="0"/>
    <n v="0"/>
    <x v="2"/>
    <n v="0"/>
    <m/>
    <n v="47.4"/>
    <x v="0"/>
  </r>
  <r>
    <s v="USR-100525"/>
    <d v="2025-03-30T00:00:00"/>
    <x v="0"/>
    <s v="North"/>
    <x v="1"/>
    <s v="Organic"/>
    <s v="Free"/>
    <n v="1"/>
    <n v="1"/>
    <n v="1"/>
    <n v="0"/>
    <n v="0"/>
    <x v="0"/>
    <n v="0"/>
    <m/>
    <n v="81.7"/>
    <x v="0"/>
  </r>
  <r>
    <s v="USR-100526"/>
    <d v="2025-01-01T00:00:00"/>
    <x v="0"/>
    <s v="West"/>
    <x v="1"/>
    <s v="Paid Search"/>
    <s v="Basic"/>
    <n v="1"/>
    <n v="1"/>
    <n v="1"/>
    <n v="0"/>
    <n v="0"/>
    <x v="0"/>
    <n v="0"/>
    <m/>
    <n v="67.5"/>
    <x v="0"/>
  </r>
  <r>
    <s v="USR-100527"/>
    <d v="2025-02-06T00:00:00"/>
    <x v="0"/>
    <s v="West"/>
    <x v="1"/>
    <s v="Paid Search"/>
    <s v="Basic"/>
    <n v="1"/>
    <n v="0"/>
    <n v="0"/>
    <n v="0"/>
    <n v="0"/>
    <x v="0"/>
    <n v="0"/>
    <m/>
    <n v="36.799999999999997"/>
    <x v="0"/>
  </r>
  <r>
    <s v="USR-100528"/>
    <d v="2025-02-25T00:00:00"/>
    <x v="0"/>
    <s v="North"/>
    <x v="0"/>
    <s v="Organic"/>
    <s v="Free"/>
    <n v="0"/>
    <n v="0"/>
    <n v="0"/>
    <n v="0"/>
    <n v="0"/>
    <x v="0"/>
    <n v="0"/>
    <m/>
    <n v="66.5"/>
    <x v="0"/>
  </r>
  <r>
    <s v="USR-100529"/>
    <d v="2025-05-14T00:00:00"/>
    <x v="0"/>
    <s v="East"/>
    <x v="2"/>
    <s v="Social"/>
    <s v="Free"/>
    <n v="1"/>
    <n v="0"/>
    <n v="0"/>
    <n v="0"/>
    <n v="0"/>
    <x v="0"/>
    <n v="0"/>
    <m/>
    <n v="35.4"/>
    <x v="0"/>
  </r>
  <r>
    <s v="USR-100530"/>
    <d v="2025-05-20T00:00:00"/>
    <x v="0"/>
    <s v="South"/>
    <x v="1"/>
    <s v="Organic"/>
    <s v="Basic"/>
    <n v="0"/>
    <n v="0"/>
    <n v="0"/>
    <n v="0"/>
    <n v="0"/>
    <x v="0"/>
    <n v="0"/>
    <m/>
    <n v="64.3"/>
    <x v="0"/>
  </r>
  <r>
    <s v="USR-100531"/>
    <d v="2025-02-11T00:00:00"/>
    <x v="0"/>
    <s v="South"/>
    <x v="1"/>
    <s v="Organic"/>
    <s v="Free"/>
    <n v="0"/>
    <n v="0"/>
    <n v="0"/>
    <n v="0"/>
    <n v="0"/>
    <x v="0"/>
    <n v="0"/>
    <m/>
    <n v="49.1"/>
    <x v="0"/>
  </r>
  <r>
    <s v="USR-100532"/>
    <d v="2025-02-13T00:00:00"/>
    <x v="0"/>
    <s v="West"/>
    <x v="1"/>
    <s v="Organic"/>
    <s v="Free"/>
    <n v="1"/>
    <n v="0"/>
    <n v="0"/>
    <n v="0"/>
    <n v="0"/>
    <x v="0"/>
    <n v="0"/>
    <m/>
    <n v="84.3"/>
    <x v="0"/>
  </r>
  <r>
    <s v="USR-100533"/>
    <d v="2025-04-07T00:00:00"/>
    <x v="0"/>
    <s v="South"/>
    <x v="1"/>
    <s v="Paid Search"/>
    <s v="Premium"/>
    <n v="1"/>
    <n v="0"/>
    <n v="0"/>
    <n v="0"/>
    <n v="0"/>
    <x v="0"/>
    <n v="0"/>
    <m/>
    <n v="65.599999999999994"/>
    <x v="0"/>
  </r>
  <r>
    <s v="USR-100534"/>
    <d v="2025-03-08T00:00:00"/>
    <x v="0"/>
    <s v="East"/>
    <x v="1"/>
    <s v="Email"/>
    <s v="Free"/>
    <n v="1"/>
    <n v="0"/>
    <n v="0"/>
    <n v="0"/>
    <n v="0"/>
    <x v="0"/>
    <n v="0"/>
    <m/>
    <n v="47.1"/>
    <x v="0"/>
  </r>
  <r>
    <s v="USR-100535"/>
    <d v="2025-02-16T00:00:00"/>
    <x v="0"/>
    <s v="North"/>
    <x v="0"/>
    <s v="Paid Search"/>
    <s v="Free"/>
    <n v="1"/>
    <n v="1"/>
    <n v="1"/>
    <n v="0"/>
    <n v="0"/>
    <x v="0"/>
    <n v="0"/>
    <m/>
    <n v="70"/>
    <x v="0"/>
  </r>
  <r>
    <s v="USR-100536"/>
    <d v="2025-04-28T00:00:00"/>
    <x v="0"/>
    <s v="South"/>
    <x v="1"/>
    <s v="Paid Search"/>
    <s v="Premium"/>
    <n v="1"/>
    <n v="0"/>
    <n v="0"/>
    <n v="0"/>
    <n v="0"/>
    <x v="0"/>
    <n v="0"/>
    <m/>
    <n v="54.6"/>
    <x v="0"/>
  </r>
  <r>
    <s v="USR-100537"/>
    <d v="2025-03-10T00:00:00"/>
    <x v="0"/>
    <s v="West"/>
    <x v="2"/>
    <s v="Social"/>
    <s v="Basic"/>
    <n v="1"/>
    <n v="1"/>
    <n v="0"/>
    <n v="0"/>
    <n v="0"/>
    <x v="1"/>
    <n v="0"/>
    <m/>
    <n v="65.2"/>
    <x v="0"/>
  </r>
  <r>
    <s v="USR-100538"/>
    <d v="2025-01-25T00:00:00"/>
    <x v="0"/>
    <s v="East"/>
    <x v="1"/>
    <s v="Social"/>
    <s v="Free"/>
    <n v="1"/>
    <n v="0"/>
    <n v="0"/>
    <n v="0"/>
    <n v="0"/>
    <x v="0"/>
    <n v="0"/>
    <m/>
    <n v="65"/>
    <x v="0"/>
  </r>
  <r>
    <s v="USR-100539"/>
    <d v="2025-01-11T00:00:00"/>
    <x v="0"/>
    <s v="West"/>
    <x v="1"/>
    <s v="Paid Search"/>
    <s v="Premium"/>
    <n v="1"/>
    <n v="1"/>
    <n v="1"/>
    <n v="0"/>
    <n v="0"/>
    <x v="1"/>
    <n v="0"/>
    <m/>
    <n v="42.1"/>
    <x v="0"/>
  </r>
  <r>
    <s v="USR-100540"/>
    <d v="2025-03-31T00:00:00"/>
    <x v="0"/>
    <s v="West"/>
    <x v="2"/>
    <s v="Paid Search"/>
    <s v="Free"/>
    <n v="1"/>
    <n v="0"/>
    <n v="0"/>
    <n v="0"/>
    <n v="0"/>
    <x v="0"/>
    <n v="0"/>
    <m/>
    <n v="43.4"/>
    <x v="0"/>
  </r>
  <r>
    <s v="USR-100433"/>
    <d v="2025-02-03T00:00:00"/>
    <x v="0"/>
    <s v="North"/>
    <x v="2"/>
    <s v="Email"/>
    <s v="Basic"/>
    <n v="1"/>
    <n v="0"/>
    <n v="0"/>
    <n v="0"/>
    <n v="0"/>
    <x v="0"/>
    <n v="0"/>
    <m/>
    <n v="60.9"/>
    <x v="0"/>
  </r>
  <r>
    <s v="USR-100542"/>
    <d v="2025-05-16T00:00:00"/>
    <x v="0"/>
    <s v="North"/>
    <x v="1"/>
    <s v="Referral"/>
    <s v="Basic"/>
    <n v="0"/>
    <n v="0"/>
    <n v="0"/>
    <n v="0"/>
    <n v="0"/>
    <x v="0"/>
    <n v="0"/>
    <m/>
    <n v="74.099999999999994"/>
    <x v="0"/>
  </r>
  <r>
    <s v="USR-100543"/>
    <d v="2025-04-25T00:00:00"/>
    <x v="0"/>
    <s v="East"/>
    <x v="0"/>
    <s v="Paid Search"/>
    <s v="Free"/>
    <n v="1"/>
    <n v="0"/>
    <n v="0"/>
    <n v="0"/>
    <n v="0"/>
    <x v="0"/>
    <n v="0"/>
    <m/>
    <n v="61.4"/>
    <x v="0"/>
  </r>
  <r>
    <s v="USR-100544"/>
    <d v="2025-04-17T00:00:00"/>
    <x v="0"/>
    <s v="East"/>
    <x v="1"/>
    <s v="Social"/>
    <s v="Premium"/>
    <n v="1"/>
    <n v="1"/>
    <n v="1"/>
    <n v="0"/>
    <n v="0"/>
    <x v="0"/>
    <n v="0"/>
    <m/>
    <n v="76.8"/>
    <x v="0"/>
  </r>
  <r>
    <s v="USR-100545"/>
    <d v="2025-01-01T00:00:00"/>
    <x v="0"/>
    <s v="South"/>
    <x v="0"/>
    <s v="Social"/>
    <s v="Basic"/>
    <n v="0"/>
    <n v="0"/>
    <n v="0"/>
    <n v="0"/>
    <n v="0"/>
    <x v="0"/>
    <n v="0"/>
    <m/>
    <m/>
    <x v="0"/>
  </r>
  <r>
    <s v="USR-100546"/>
    <d v="2025-03-18T00:00:00"/>
    <x v="0"/>
    <s v="East"/>
    <x v="1"/>
    <s v="Paid Search"/>
    <s v="Basic"/>
    <n v="1"/>
    <n v="1"/>
    <n v="1"/>
    <n v="0"/>
    <n v="0"/>
    <x v="0"/>
    <n v="0"/>
    <m/>
    <n v="45.3"/>
    <x v="0"/>
  </r>
  <r>
    <s v="USR-100547"/>
    <d v="2025-05-20T00:00:00"/>
    <x v="0"/>
    <s v="North"/>
    <x v="2"/>
    <s v="Paid Search"/>
    <s v="Free"/>
    <n v="1"/>
    <n v="0"/>
    <n v="0"/>
    <n v="0"/>
    <n v="0"/>
    <x v="0"/>
    <n v="0"/>
    <m/>
    <n v="41.4"/>
    <x v="0"/>
  </r>
  <r>
    <s v="USR-100548"/>
    <d v="2025-03-16T00:00:00"/>
    <x v="0"/>
    <s v="North"/>
    <x v="1"/>
    <s v="Organic"/>
    <s v="Basic"/>
    <n v="1"/>
    <n v="0"/>
    <n v="0"/>
    <n v="0"/>
    <n v="0"/>
    <x v="0"/>
    <n v="0"/>
    <m/>
    <n v="37.1"/>
    <x v="0"/>
  </r>
  <r>
    <s v="USR-100549"/>
    <d v="2025-05-30T00:00:00"/>
    <x v="0"/>
    <s v="East"/>
    <x v="0"/>
    <s v="Social"/>
    <s v="Free"/>
    <n v="1"/>
    <n v="0"/>
    <n v="0"/>
    <n v="0"/>
    <n v="0"/>
    <x v="0"/>
    <n v="0"/>
    <m/>
    <n v="40.700000000000003"/>
    <x v="0"/>
  </r>
  <r>
    <s v="USR-100550"/>
    <d v="2025-02-20T00:00:00"/>
    <x v="0"/>
    <s v="North"/>
    <x v="1"/>
    <s v="Social"/>
    <s v="Premium"/>
    <n v="0"/>
    <n v="0"/>
    <n v="0"/>
    <n v="0"/>
    <n v="0"/>
    <x v="2"/>
    <n v="0"/>
    <m/>
    <n v="55.9"/>
    <x v="0"/>
  </r>
  <r>
    <s v="USR-100551"/>
    <d v="2025-02-11T00:00:00"/>
    <x v="0"/>
    <s v="East"/>
    <x v="3"/>
    <s v="Social"/>
    <s v="Free"/>
    <n v="1"/>
    <n v="1"/>
    <n v="0"/>
    <n v="0"/>
    <n v="0"/>
    <x v="0"/>
    <n v="0"/>
    <m/>
    <n v="55.8"/>
    <x v="0"/>
  </r>
  <r>
    <s v="USR-100552"/>
    <d v="2025-01-02T00:00:00"/>
    <x v="0"/>
    <s v="South"/>
    <x v="2"/>
    <s v="Referral"/>
    <s v="Basic"/>
    <n v="1"/>
    <n v="0"/>
    <n v="0"/>
    <n v="0"/>
    <n v="0"/>
    <x v="0"/>
    <n v="0"/>
    <m/>
    <n v="64.3"/>
    <x v="0"/>
  </r>
  <r>
    <s v="USR-100553"/>
    <d v="2025-05-03T00:00:00"/>
    <x v="0"/>
    <s v="North"/>
    <x v="1"/>
    <s v="Organic"/>
    <s v="Free"/>
    <n v="0"/>
    <n v="0"/>
    <n v="0"/>
    <n v="0"/>
    <n v="0"/>
    <x v="0"/>
    <n v="0"/>
    <m/>
    <n v="65.400000000000006"/>
    <x v="0"/>
  </r>
  <r>
    <s v="USR-100554"/>
    <d v="2025-02-24T00:00:00"/>
    <x v="0"/>
    <s v="West"/>
    <x v="1"/>
    <s v="Organic"/>
    <s v="Free"/>
    <n v="1"/>
    <n v="0"/>
    <n v="0"/>
    <n v="0"/>
    <n v="0"/>
    <x v="0"/>
    <n v="0"/>
    <m/>
    <n v="89.8"/>
    <x v="0"/>
  </r>
  <r>
    <s v="USR-100555"/>
    <d v="2025-02-11T00:00:00"/>
    <x v="0"/>
    <s v="South"/>
    <x v="3"/>
    <s v="Organic"/>
    <s v="Free"/>
    <n v="1"/>
    <n v="1"/>
    <n v="1"/>
    <n v="0"/>
    <n v="0"/>
    <x v="0"/>
    <n v="0"/>
    <m/>
    <n v="58.3"/>
    <x v="0"/>
  </r>
  <r>
    <s v="USR-100556"/>
    <d v="2025-05-06T00:00:00"/>
    <x v="0"/>
    <s v="South"/>
    <x v="1"/>
    <s v="Social"/>
    <s v="Basic"/>
    <n v="1"/>
    <n v="0"/>
    <n v="0"/>
    <n v="0"/>
    <n v="0"/>
    <x v="0"/>
    <n v="0"/>
    <m/>
    <n v="64.400000000000006"/>
    <x v="0"/>
  </r>
  <r>
    <s v="USR-100557"/>
    <d v="2025-05-23T00:00:00"/>
    <x v="0"/>
    <s v="North"/>
    <x v="1"/>
    <s v="Paid Search"/>
    <s v="Premium"/>
    <n v="0"/>
    <n v="0"/>
    <n v="0"/>
    <n v="0"/>
    <n v="0"/>
    <x v="0"/>
    <n v="0"/>
    <m/>
    <n v="46.2"/>
    <x v="0"/>
  </r>
  <r>
    <s v="USR-100558"/>
    <d v="2025-01-09T00:00:00"/>
    <x v="0"/>
    <s v="North"/>
    <x v="0"/>
    <s v="Paid Search"/>
    <s v="Free"/>
    <n v="0"/>
    <n v="0"/>
    <n v="0"/>
    <n v="0"/>
    <n v="0"/>
    <x v="0"/>
    <n v="0"/>
    <m/>
    <n v="78"/>
    <x v="0"/>
  </r>
  <r>
    <s v="USR-100559"/>
    <d v="2025-04-01T00:00:00"/>
    <x v="0"/>
    <s v="North"/>
    <x v="0"/>
    <s v="Organic"/>
    <s v="Premium"/>
    <n v="1"/>
    <n v="0"/>
    <n v="0"/>
    <n v="0"/>
    <n v="0"/>
    <x v="0"/>
    <n v="0"/>
    <m/>
    <n v="62.3"/>
    <x v="0"/>
  </r>
  <r>
    <s v="USR-100560"/>
    <d v="2025-03-08T00:00:00"/>
    <x v="0"/>
    <s v="North"/>
    <x v="1"/>
    <s v="Organic"/>
    <s v="Free"/>
    <n v="1"/>
    <n v="0"/>
    <n v="0"/>
    <n v="0"/>
    <n v="0"/>
    <x v="0"/>
    <n v="0"/>
    <m/>
    <n v="78.8"/>
    <x v="0"/>
  </r>
  <r>
    <s v="USR-100561"/>
    <d v="2025-02-20T00:00:00"/>
    <x v="0"/>
    <s v="North"/>
    <x v="1"/>
    <s v="Social"/>
    <s v="Basic"/>
    <n v="1"/>
    <n v="0"/>
    <n v="0"/>
    <n v="0"/>
    <n v="0"/>
    <x v="0"/>
    <n v="0"/>
    <m/>
    <n v="25"/>
    <x v="0"/>
  </r>
  <r>
    <s v="USR-100562"/>
    <d v="2025-03-30T00:00:00"/>
    <x v="0"/>
    <s v="East"/>
    <x v="1"/>
    <s v="Social"/>
    <s v="Basic"/>
    <n v="0"/>
    <n v="0"/>
    <n v="0"/>
    <n v="0"/>
    <n v="0"/>
    <x v="0"/>
    <n v="0"/>
    <m/>
    <n v="53.4"/>
    <x v="0"/>
  </r>
  <r>
    <s v="USR-100563"/>
    <d v="2025-04-10T00:00:00"/>
    <x v="0"/>
    <s v="East"/>
    <x v="0"/>
    <s v="Organic"/>
    <s v="Basic"/>
    <n v="0"/>
    <n v="0"/>
    <n v="0"/>
    <n v="0"/>
    <n v="0"/>
    <x v="0"/>
    <n v="0"/>
    <m/>
    <n v="40.700000000000003"/>
    <x v="0"/>
  </r>
  <r>
    <s v="USR-100564"/>
    <d v="2025-03-24T00:00:00"/>
    <x v="0"/>
    <s v="East"/>
    <x v="1"/>
    <s v="Organic"/>
    <s v="Premium"/>
    <n v="1"/>
    <n v="1"/>
    <n v="0"/>
    <n v="0"/>
    <n v="0"/>
    <x v="0"/>
    <n v="0"/>
    <m/>
    <n v="36.700000000000003"/>
    <x v="0"/>
  </r>
  <r>
    <s v="USR-100565"/>
    <d v="2025-05-21T00:00:00"/>
    <x v="0"/>
    <s v="West"/>
    <x v="1"/>
    <s v="Organic"/>
    <s v="Basic"/>
    <n v="1"/>
    <n v="0"/>
    <n v="0"/>
    <n v="0"/>
    <n v="0"/>
    <x v="1"/>
    <n v="0"/>
    <m/>
    <n v="67.5"/>
    <x v="0"/>
  </r>
  <r>
    <s v="USR-100566"/>
    <d v="2025-03-29T00:00:00"/>
    <x v="0"/>
    <s v="East"/>
    <x v="1"/>
    <s v="Social"/>
    <s v="Premium"/>
    <n v="1"/>
    <n v="1"/>
    <n v="1"/>
    <n v="0"/>
    <n v="0"/>
    <x v="0"/>
    <n v="0"/>
    <m/>
    <n v="69.900000000000006"/>
    <x v="0"/>
  </r>
  <r>
    <s v="USR-100567"/>
    <d v="2025-02-23T00:00:00"/>
    <x v="0"/>
    <s v="North"/>
    <x v="2"/>
    <s v="Referral"/>
    <s v="Basic"/>
    <n v="1"/>
    <n v="0"/>
    <n v="0"/>
    <n v="0"/>
    <n v="0"/>
    <x v="0"/>
    <n v="0"/>
    <m/>
    <n v="65.099999999999994"/>
    <x v="0"/>
  </r>
  <r>
    <s v="USR-100568"/>
    <d v="2025-02-16T00:00:00"/>
    <x v="0"/>
    <s v="West"/>
    <x v="1"/>
    <s v="Paid Search"/>
    <s v="Premium"/>
    <n v="1"/>
    <n v="0"/>
    <n v="0"/>
    <n v="0"/>
    <n v="0"/>
    <x v="0"/>
    <n v="0"/>
    <m/>
    <n v="48.7"/>
    <x v="0"/>
  </r>
  <r>
    <s v="USR-100569"/>
    <d v="2025-02-21T00:00:00"/>
    <x v="0"/>
    <s v="West"/>
    <x v="0"/>
    <s v="Organic"/>
    <s v="Basic"/>
    <n v="1"/>
    <n v="1"/>
    <n v="0"/>
    <n v="0"/>
    <n v="0"/>
    <x v="0"/>
    <n v="0"/>
    <m/>
    <n v="47.2"/>
    <x v="0"/>
  </r>
  <r>
    <s v="USR-100570"/>
    <d v="2025-01-07T00:00:00"/>
    <x v="0"/>
    <s v="North"/>
    <x v="1"/>
    <s v="Referral"/>
    <s v="Free"/>
    <n v="1"/>
    <n v="0"/>
    <n v="0"/>
    <n v="0"/>
    <n v="0"/>
    <x v="2"/>
    <n v="0"/>
    <m/>
    <n v="20.3"/>
    <x v="0"/>
  </r>
  <r>
    <s v="USR-100571"/>
    <d v="2025-03-06T00:00:00"/>
    <x v="0"/>
    <s v="West"/>
    <x v="1"/>
    <s v="Paid Search"/>
    <s v="Free"/>
    <n v="0"/>
    <n v="0"/>
    <n v="0"/>
    <n v="0"/>
    <n v="0"/>
    <x v="1"/>
    <n v="0"/>
    <m/>
    <n v="57.8"/>
    <x v="0"/>
  </r>
  <r>
    <s v="USR-100572"/>
    <d v="2025-03-30T00:00:00"/>
    <x v="0"/>
    <s v="East"/>
    <x v="1"/>
    <s v="Email"/>
    <s v="Basic"/>
    <n v="1"/>
    <n v="0"/>
    <n v="0"/>
    <n v="0"/>
    <n v="0"/>
    <x v="0"/>
    <n v="0"/>
    <m/>
    <n v="78.7"/>
    <x v="0"/>
  </r>
  <r>
    <s v="USR-100573"/>
    <d v="2025-05-31T00:00:00"/>
    <x v="0"/>
    <s v="South"/>
    <x v="0"/>
    <s v="Organic"/>
    <s v="Free"/>
    <n v="1"/>
    <n v="0"/>
    <n v="0"/>
    <n v="0"/>
    <n v="0"/>
    <x v="0"/>
    <n v="0"/>
    <m/>
    <n v="63.6"/>
    <x v="0"/>
  </r>
  <r>
    <s v="USR-100574"/>
    <d v="2025-02-20T00:00:00"/>
    <x v="0"/>
    <s v="South"/>
    <x v="1"/>
    <s v="Email"/>
    <s v="Free"/>
    <n v="0"/>
    <n v="0"/>
    <n v="0"/>
    <n v="0"/>
    <n v="0"/>
    <x v="2"/>
    <n v="0"/>
    <m/>
    <n v="45.1"/>
    <x v="0"/>
  </r>
  <r>
    <s v="USR-100575"/>
    <d v="2025-01-13T00:00:00"/>
    <x v="0"/>
    <s v="West"/>
    <x v="1"/>
    <s v="Social"/>
    <s v="Free"/>
    <n v="0"/>
    <n v="0"/>
    <n v="0"/>
    <n v="0"/>
    <n v="0"/>
    <x v="0"/>
    <n v="0"/>
    <m/>
    <n v="77.5"/>
    <x v="0"/>
  </r>
  <r>
    <s v="USR-100576"/>
    <d v="2025-05-13T00:00:00"/>
    <x v="0"/>
    <s v="East"/>
    <x v="0"/>
    <s v="Paid Search"/>
    <s v="Basic"/>
    <n v="1"/>
    <n v="1"/>
    <n v="0"/>
    <n v="0"/>
    <n v="0"/>
    <x v="0"/>
    <n v="0"/>
    <m/>
    <n v="58"/>
    <x v="0"/>
  </r>
  <r>
    <s v="USR-100577"/>
    <d v="2025-04-21T00:00:00"/>
    <x v="0"/>
    <s v="South"/>
    <x v="2"/>
    <s v="Organic"/>
    <s v="Free"/>
    <n v="1"/>
    <n v="0"/>
    <n v="0"/>
    <n v="0"/>
    <n v="0"/>
    <x v="0"/>
    <n v="0"/>
    <m/>
    <n v="68.099999999999994"/>
    <x v="0"/>
  </r>
  <r>
    <s v="USR-100578"/>
    <d v="2025-03-01T00:00:00"/>
    <x v="0"/>
    <s v="East"/>
    <x v="2"/>
    <s v="Organic"/>
    <s v="Premium"/>
    <n v="1"/>
    <n v="0"/>
    <n v="0"/>
    <n v="0"/>
    <n v="0"/>
    <x v="0"/>
    <n v="0"/>
    <m/>
    <n v="35.4"/>
    <x v="0"/>
  </r>
  <r>
    <s v="USR-100579"/>
    <d v="2025-03-10T00:00:00"/>
    <x v="0"/>
    <s v="West"/>
    <x v="2"/>
    <s v="Organic"/>
    <s v="Free"/>
    <n v="0"/>
    <n v="0"/>
    <n v="0"/>
    <n v="0"/>
    <n v="0"/>
    <x v="0"/>
    <n v="0"/>
    <m/>
    <n v="47"/>
    <x v="0"/>
  </r>
  <r>
    <s v="USR-100580"/>
    <d v="2025-03-08T00:00:00"/>
    <x v="0"/>
    <s v="East"/>
    <x v="0"/>
    <s v="Paid Search"/>
    <s v="Free"/>
    <n v="0"/>
    <n v="0"/>
    <n v="0"/>
    <n v="0"/>
    <n v="0"/>
    <x v="0"/>
    <n v="0"/>
    <m/>
    <n v="75"/>
    <x v="0"/>
  </r>
  <r>
    <s v="USR-100581"/>
    <d v="2025-05-26T00:00:00"/>
    <x v="0"/>
    <s v="South"/>
    <x v="0"/>
    <s v="Paid Search"/>
    <s v="Free"/>
    <n v="1"/>
    <n v="1"/>
    <n v="1"/>
    <n v="0"/>
    <n v="0"/>
    <x v="3"/>
    <n v="0"/>
    <m/>
    <n v="50.2"/>
    <x v="0"/>
  </r>
  <r>
    <s v="USR-100582"/>
    <d v="2025-05-20T00:00:00"/>
    <x v="0"/>
    <s v="East"/>
    <x v="0"/>
    <s v="Paid Search"/>
    <s v="Free"/>
    <n v="1"/>
    <n v="0"/>
    <n v="0"/>
    <n v="0"/>
    <n v="0"/>
    <x v="0"/>
    <n v="0"/>
    <m/>
    <n v="40.1"/>
    <x v="0"/>
  </r>
  <r>
    <s v="USR-100583"/>
    <d v="2025-03-22T00:00:00"/>
    <x v="0"/>
    <s v="West"/>
    <x v="0"/>
    <s v="Paid Search"/>
    <s v="Free"/>
    <n v="0"/>
    <n v="0"/>
    <n v="0"/>
    <n v="0"/>
    <n v="0"/>
    <x v="0"/>
    <n v="0"/>
    <m/>
    <n v="61.1"/>
    <x v="0"/>
  </r>
  <r>
    <s v="USR-100584"/>
    <d v="2025-02-15T00:00:00"/>
    <x v="0"/>
    <s v="South"/>
    <x v="0"/>
    <s v="Paid Search"/>
    <s v="Free"/>
    <n v="0"/>
    <n v="0"/>
    <n v="0"/>
    <n v="0"/>
    <n v="0"/>
    <x v="0"/>
    <n v="0"/>
    <m/>
    <n v="42.4"/>
    <x v="0"/>
  </r>
  <r>
    <s v="USR-100585"/>
    <d v="2025-01-08T00:00:00"/>
    <x v="0"/>
    <s v="North"/>
    <x v="1"/>
    <s v="Social"/>
    <s v="Free"/>
    <n v="0"/>
    <n v="0"/>
    <n v="0"/>
    <n v="0"/>
    <n v="0"/>
    <x v="1"/>
    <n v="0"/>
    <m/>
    <n v="46.6"/>
    <x v="0"/>
  </r>
  <r>
    <s v="USR-100586"/>
    <d v="2025-01-29T00:00:00"/>
    <x v="0"/>
    <s v="South"/>
    <x v="1"/>
    <s v="Organic"/>
    <s v="Premium"/>
    <n v="1"/>
    <n v="1"/>
    <n v="0"/>
    <n v="0"/>
    <n v="0"/>
    <x v="0"/>
    <n v="0"/>
    <m/>
    <n v="72.099999999999994"/>
    <x v="0"/>
  </r>
  <r>
    <s v="USR-100587"/>
    <d v="2025-05-07T00:00:00"/>
    <x v="0"/>
    <s v="East"/>
    <x v="2"/>
    <s v="Organic"/>
    <s v="Free"/>
    <n v="0"/>
    <n v="0"/>
    <n v="0"/>
    <n v="0"/>
    <n v="0"/>
    <x v="0"/>
    <n v="0"/>
    <m/>
    <n v="21.5"/>
    <x v="0"/>
  </r>
  <r>
    <s v="USR-100588"/>
    <d v="2025-03-01T00:00:00"/>
    <x v="0"/>
    <s v="North"/>
    <x v="1"/>
    <s v="Social"/>
    <s v="Basic"/>
    <n v="1"/>
    <n v="0"/>
    <n v="0"/>
    <n v="0"/>
    <n v="0"/>
    <x v="1"/>
    <n v="0"/>
    <m/>
    <n v="65.400000000000006"/>
    <x v="0"/>
  </r>
  <r>
    <s v="USR-100589"/>
    <d v="2025-04-20T00:00:00"/>
    <x v="0"/>
    <s v="East"/>
    <x v="1"/>
    <s v="Organic"/>
    <s v="Free"/>
    <n v="1"/>
    <n v="1"/>
    <n v="0"/>
    <n v="0"/>
    <n v="0"/>
    <x v="0"/>
    <n v="0"/>
    <m/>
    <n v="53.3"/>
    <x v="0"/>
  </r>
  <r>
    <s v="USR-100590"/>
    <d v="2025-01-16T00:00:00"/>
    <x v="0"/>
    <s v="East"/>
    <x v="1"/>
    <s v="Organic"/>
    <s v="Premium"/>
    <n v="0"/>
    <n v="0"/>
    <n v="0"/>
    <n v="0"/>
    <n v="0"/>
    <x v="2"/>
    <n v="0"/>
    <m/>
    <n v="52.3"/>
    <x v="0"/>
  </r>
  <r>
    <s v="USR-100591"/>
    <d v="2025-04-04T00:00:00"/>
    <x v="0"/>
    <s v="East"/>
    <x v="1"/>
    <s v="Paid Search"/>
    <s v="Free"/>
    <n v="1"/>
    <n v="0"/>
    <n v="0"/>
    <n v="0"/>
    <n v="0"/>
    <x v="0"/>
    <n v="0"/>
    <m/>
    <n v="62.5"/>
    <x v="0"/>
  </r>
  <r>
    <s v="USR-100592"/>
    <d v="2025-01-29T00:00:00"/>
    <x v="0"/>
    <s v="North"/>
    <x v="2"/>
    <s v="Social"/>
    <s v="Free"/>
    <n v="1"/>
    <n v="0"/>
    <n v="0"/>
    <n v="0"/>
    <n v="0"/>
    <x v="0"/>
    <n v="0"/>
    <m/>
    <n v="69.8"/>
    <x v="0"/>
  </r>
  <r>
    <s v="USR-100593"/>
    <d v="2025-04-19T00:00:00"/>
    <x v="0"/>
    <s v="East"/>
    <x v="1"/>
    <s v="Email"/>
    <s v="Free"/>
    <n v="1"/>
    <n v="0"/>
    <n v="0"/>
    <n v="0"/>
    <n v="0"/>
    <x v="0"/>
    <n v="0"/>
    <m/>
    <n v="68.2"/>
    <x v="0"/>
  </r>
  <r>
    <s v="USR-100594"/>
    <d v="2025-03-10T00:00:00"/>
    <x v="0"/>
    <s v="South"/>
    <x v="1"/>
    <s v="Social"/>
    <s v="Basic"/>
    <n v="1"/>
    <n v="1"/>
    <n v="1"/>
    <n v="1"/>
    <n v="751.73"/>
    <x v="0"/>
    <n v="0"/>
    <n v="6"/>
    <n v="35.200000000000003"/>
    <x v="0"/>
  </r>
  <r>
    <s v="USR-100595"/>
    <d v="2025-05-10T00:00:00"/>
    <x v="0"/>
    <s v="South"/>
    <x v="1"/>
    <s v="Social"/>
    <s v="Basic"/>
    <n v="0"/>
    <n v="0"/>
    <n v="0"/>
    <n v="0"/>
    <n v="0"/>
    <x v="0"/>
    <n v="0"/>
    <m/>
    <n v="59.3"/>
    <x v="0"/>
  </r>
  <r>
    <s v="USR-100596"/>
    <d v="2025-02-02T00:00:00"/>
    <x v="0"/>
    <s v="North"/>
    <x v="1"/>
    <s v="Social"/>
    <s v="Free"/>
    <n v="0"/>
    <n v="0"/>
    <n v="0"/>
    <n v="0"/>
    <n v="0"/>
    <x v="0"/>
    <n v="0"/>
    <m/>
    <n v="68.099999999999994"/>
    <x v="0"/>
  </r>
  <r>
    <s v="USR-100597"/>
    <d v="2025-05-06T00:00:00"/>
    <x v="0"/>
    <s v="North"/>
    <x v="0"/>
    <s v="Organic"/>
    <s v="Free"/>
    <n v="1"/>
    <n v="1"/>
    <n v="0"/>
    <n v="0"/>
    <n v="0"/>
    <x v="0"/>
    <n v="0"/>
    <m/>
    <n v="74.8"/>
    <x v="0"/>
  </r>
  <r>
    <s v="USR-100598"/>
    <d v="2025-01-19T00:00:00"/>
    <x v="0"/>
    <s v="West"/>
    <x v="0"/>
    <s v="Organic"/>
    <s v="Free"/>
    <n v="1"/>
    <n v="1"/>
    <n v="1"/>
    <n v="0"/>
    <n v="0"/>
    <x v="0"/>
    <n v="0"/>
    <m/>
    <n v="61.7"/>
    <x v="0"/>
  </r>
  <r>
    <s v="USR-100599"/>
    <d v="2025-01-02T00:00:00"/>
    <x v="0"/>
    <s v="North"/>
    <x v="1"/>
    <s v="Organic"/>
    <s v="Free"/>
    <n v="1"/>
    <n v="0"/>
    <n v="0"/>
    <n v="0"/>
    <n v="0"/>
    <x v="0"/>
    <n v="0"/>
    <m/>
    <n v="24.3"/>
    <x v="0"/>
  </r>
  <r>
    <s v="USR-100600"/>
    <d v="2025-05-03T00:00:00"/>
    <x v="0"/>
    <s v="South"/>
    <x v="0"/>
    <s v="Paid Search"/>
    <s v="Free"/>
    <n v="0"/>
    <n v="0"/>
    <n v="0"/>
    <n v="0"/>
    <n v="0"/>
    <x v="1"/>
    <n v="0"/>
    <m/>
    <n v="61.9"/>
    <x v="0"/>
  </r>
  <r>
    <s v="USR-100601"/>
    <d v="2025-05-27T00:00:00"/>
    <x v="0"/>
    <s v="East"/>
    <x v="0"/>
    <s v="Referral"/>
    <s v="Premium"/>
    <n v="0"/>
    <n v="0"/>
    <n v="0"/>
    <n v="0"/>
    <n v="0"/>
    <x v="2"/>
    <n v="0"/>
    <m/>
    <n v="41.7"/>
    <x v="0"/>
  </r>
  <r>
    <s v="USR-100602"/>
    <d v="2025-02-09T00:00:00"/>
    <x v="0"/>
    <s v="South"/>
    <x v="0"/>
    <s v="Social"/>
    <s v="Free"/>
    <n v="1"/>
    <n v="0"/>
    <n v="0"/>
    <n v="0"/>
    <n v="0"/>
    <x v="0"/>
    <n v="0"/>
    <m/>
    <n v="87.6"/>
    <x v="0"/>
  </r>
  <r>
    <s v="USR-100603"/>
    <d v="2025-05-18T00:00:00"/>
    <x v="0"/>
    <s v="East"/>
    <x v="1"/>
    <s v="Paid Search"/>
    <s v="Free"/>
    <n v="1"/>
    <n v="0"/>
    <n v="0"/>
    <n v="0"/>
    <n v="0"/>
    <x v="0"/>
    <n v="0"/>
    <m/>
    <n v="30.8"/>
    <x v="0"/>
  </r>
  <r>
    <s v="USR-100604"/>
    <d v="2025-05-17T00:00:00"/>
    <x v="0"/>
    <s v="North"/>
    <x v="1"/>
    <s v="Email"/>
    <s v="Free"/>
    <n v="0"/>
    <n v="0"/>
    <n v="0"/>
    <n v="0"/>
    <n v="0"/>
    <x v="0"/>
    <n v="0"/>
    <m/>
    <n v="54"/>
    <x v="0"/>
  </r>
  <r>
    <s v="USR-100605"/>
    <d v="2025-01-25T00:00:00"/>
    <x v="0"/>
    <s v="East"/>
    <x v="0"/>
    <s v="Referral"/>
    <s v="Basic"/>
    <n v="1"/>
    <n v="0"/>
    <n v="0"/>
    <n v="0"/>
    <n v="0"/>
    <x v="1"/>
    <n v="0"/>
    <m/>
    <n v="54.5"/>
    <x v="0"/>
  </r>
  <r>
    <s v="USR-100606"/>
    <d v="2025-05-04T00:00:00"/>
    <x v="0"/>
    <s v="West"/>
    <x v="1"/>
    <s v="Paid Search"/>
    <s v="Premium"/>
    <n v="1"/>
    <n v="1"/>
    <n v="0"/>
    <n v="0"/>
    <n v="0"/>
    <x v="0"/>
    <n v="0"/>
    <m/>
    <n v="61.3"/>
    <x v="0"/>
  </r>
  <r>
    <s v="USR-100607"/>
    <d v="2025-04-14T00:00:00"/>
    <x v="0"/>
    <s v="West"/>
    <x v="1"/>
    <s v="Organic"/>
    <s v="Free"/>
    <n v="1"/>
    <n v="0"/>
    <n v="0"/>
    <n v="0"/>
    <n v="0"/>
    <x v="0"/>
    <n v="0"/>
    <m/>
    <n v="62.7"/>
    <x v="0"/>
  </r>
  <r>
    <s v="USR-100608"/>
    <d v="2025-04-18T00:00:00"/>
    <x v="0"/>
    <s v="South"/>
    <x v="1"/>
    <s v="Paid Search"/>
    <s v="Free"/>
    <n v="1"/>
    <n v="1"/>
    <n v="0"/>
    <n v="0"/>
    <n v="0"/>
    <x v="0"/>
    <n v="0"/>
    <m/>
    <n v="43.1"/>
    <x v="0"/>
  </r>
  <r>
    <s v="USR-100609"/>
    <d v="2025-02-24T00:00:00"/>
    <x v="0"/>
    <s v="South"/>
    <x v="0"/>
    <s v="Email"/>
    <s v="Basic"/>
    <n v="0"/>
    <n v="0"/>
    <n v="0"/>
    <n v="0"/>
    <n v="0"/>
    <x v="0"/>
    <n v="0"/>
    <m/>
    <n v="59.9"/>
    <x v="0"/>
  </r>
  <r>
    <s v="USR-100610"/>
    <d v="2025-04-19T00:00:00"/>
    <x v="0"/>
    <s v="North"/>
    <x v="2"/>
    <s v="Paid Search"/>
    <s v="Free"/>
    <n v="1"/>
    <n v="1"/>
    <n v="1"/>
    <n v="0"/>
    <n v="0"/>
    <x v="0"/>
    <n v="0"/>
    <m/>
    <n v="55.7"/>
    <x v="0"/>
  </r>
  <r>
    <s v="USR-100611"/>
    <d v="2025-03-07T00:00:00"/>
    <x v="0"/>
    <s v="South"/>
    <x v="0"/>
    <s v="Organic"/>
    <s v="Basic"/>
    <n v="1"/>
    <n v="0"/>
    <n v="0"/>
    <n v="0"/>
    <n v="0"/>
    <x v="0"/>
    <n v="0"/>
    <m/>
    <n v="37.1"/>
    <x v="0"/>
  </r>
  <r>
    <s v="USR-100612"/>
    <d v="2025-03-09T00:00:00"/>
    <x v="0"/>
    <s v="East"/>
    <x v="1"/>
    <s v="Organic"/>
    <s v="Basic"/>
    <n v="0"/>
    <n v="0"/>
    <n v="0"/>
    <n v="0"/>
    <n v="0"/>
    <x v="1"/>
    <n v="0"/>
    <m/>
    <n v="46.7"/>
    <x v="0"/>
  </r>
  <r>
    <s v="USR-100613"/>
    <d v="2025-05-01T00:00:00"/>
    <x v="0"/>
    <s v="South"/>
    <x v="0"/>
    <s v="Organic"/>
    <s v="Basic"/>
    <n v="1"/>
    <n v="0"/>
    <n v="0"/>
    <n v="0"/>
    <n v="0"/>
    <x v="0"/>
    <n v="0"/>
    <m/>
    <n v="54.1"/>
    <x v="0"/>
  </r>
  <r>
    <s v="USR-100614"/>
    <d v="2025-02-09T00:00:00"/>
    <x v="0"/>
    <s v="West"/>
    <x v="0"/>
    <s v="Organic"/>
    <s v="Premium"/>
    <n v="1"/>
    <n v="1"/>
    <n v="1"/>
    <n v="0"/>
    <n v="0"/>
    <x v="0"/>
    <n v="0"/>
    <m/>
    <n v="56.1"/>
    <x v="0"/>
  </r>
  <r>
    <s v="USR-100615"/>
    <d v="2025-05-22T00:00:00"/>
    <x v="0"/>
    <s v="West"/>
    <x v="1"/>
    <s v="Referral"/>
    <s v="Premium"/>
    <n v="0"/>
    <n v="0"/>
    <n v="0"/>
    <n v="0"/>
    <n v="0"/>
    <x v="0"/>
    <n v="0"/>
    <m/>
    <n v="23.6"/>
    <x v="0"/>
  </r>
  <r>
    <s v="USR-100616"/>
    <d v="2025-02-11T00:00:00"/>
    <x v="0"/>
    <s v="North"/>
    <x v="1"/>
    <s v="Organic"/>
    <s v="Premium"/>
    <n v="0"/>
    <n v="0"/>
    <n v="0"/>
    <n v="0"/>
    <n v="0"/>
    <x v="0"/>
    <n v="0"/>
    <m/>
    <n v="54.7"/>
    <x v="0"/>
  </r>
  <r>
    <s v="USR-100617"/>
    <d v="2025-04-12T00:00:00"/>
    <x v="0"/>
    <s v="North"/>
    <x v="1"/>
    <s v="Referral"/>
    <s v="Basic"/>
    <n v="0"/>
    <n v="0"/>
    <n v="0"/>
    <n v="0"/>
    <n v="0"/>
    <x v="2"/>
    <n v="0"/>
    <m/>
    <n v="50.4"/>
    <x v="0"/>
  </r>
  <r>
    <s v="USR-100618"/>
    <d v="2025-03-01T00:00:00"/>
    <x v="0"/>
    <s v="West"/>
    <x v="1"/>
    <s v="Social"/>
    <s v="Free"/>
    <n v="1"/>
    <n v="0"/>
    <n v="0"/>
    <n v="0"/>
    <n v="0"/>
    <x v="0"/>
    <n v="0"/>
    <m/>
    <n v="54.5"/>
    <x v="0"/>
  </r>
  <r>
    <s v="USR-100619"/>
    <d v="2025-03-17T00:00:00"/>
    <x v="0"/>
    <s v="West"/>
    <x v="0"/>
    <s v="Email"/>
    <s v="Basic"/>
    <n v="0"/>
    <n v="0"/>
    <n v="0"/>
    <n v="0"/>
    <n v="0"/>
    <x v="0"/>
    <n v="0"/>
    <m/>
    <n v="58"/>
    <x v="0"/>
  </r>
  <r>
    <s v="USR-100620"/>
    <d v="2025-01-11T00:00:00"/>
    <x v="0"/>
    <s v="North"/>
    <x v="1"/>
    <s v="Paid Search"/>
    <s v="Free"/>
    <n v="0"/>
    <n v="0"/>
    <n v="0"/>
    <n v="0"/>
    <n v="0"/>
    <x v="0"/>
    <n v="0"/>
    <m/>
    <n v="42.9"/>
    <x v="0"/>
  </r>
  <r>
    <s v="USR-100621"/>
    <d v="2025-02-17T00:00:00"/>
    <x v="0"/>
    <s v="South"/>
    <x v="1"/>
    <s v="Social"/>
    <s v="Premium"/>
    <n v="1"/>
    <n v="0"/>
    <n v="0"/>
    <n v="0"/>
    <n v="0"/>
    <x v="0"/>
    <n v="0"/>
    <m/>
    <n v="51.1"/>
    <x v="0"/>
  </r>
  <r>
    <s v="USR-100622"/>
    <d v="2025-03-25T00:00:00"/>
    <x v="0"/>
    <s v="East"/>
    <x v="1"/>
    <s v="Paid Search"/>
    <s v="Basic"/>
    <n v="1"/>
    <n v="1"/>
    <n v="0"/>
    <n v="0"/>
    <n v="0"/>
    <x v="0"/>
    <n v="0"/>
    <m/>
    <n v="51.8"/>
    <x v="0"/>
  </r>
  <r>
    <s v="USR-100623"/>
    <d v="2025-05-01T00:00:00"/>
    <x v="0"/>
    <s v="South"/>
    <x v="1"/>
    <s v="Paid Search"/>
    <s v="Free"/>
    <n v="0"/>
    <n v="0"/>
    <n v="0"/>
    <n v="0"/>
    <n v="0"/>
    <x v="0"/>
    <n v="0"/>
    <m/>
    <n v="67.7"/>
    <x v="0"/>
  </r>
  <r>
    <s v="USR-100624"/>
    <d v="2025-04-02T00:00:00"/>
    <x v="0"/>
    <s v="East"/>
    <x v="1"/>
    <s v="Organic"/>
    <s v="Basic"/>
    <n v="0"/>
    <n v="0"/>
    <n v="0"/>
    <n v="0"/>
    <n v="0"/>
    <x v="0"/>
    <n v="0"/>
    <m/>
    <n v="75.8"/>
    <x v="0"/>
  </r>
  <r>
    <s v="USR-100625"/>
    <d v="2025-04-05T00:00:00"/>
    <x v="0"/>
    <s v="East"/>
    <x v="1"/>
    <s v="Email"/>
    <s v="Free"/>
    <n v="1"/>
    <n v="1"/>
    <n v="0"/>
    <n v="0"/>
    <n v="0"/>
    <x v="0"/>
    <n v="0"/>
    <m/>
    <n v="72.8"/>
    <x v="0"/>
  </r>
  <r>
    <s v="USR-100626"/>
    <d v="2025-02-24T00:00:00"/>
    <x v="0"/>
    <s v="North"/>
    <x v="0"/>
    <s v="Social"/>
    <s v="Free"/>
    <n v="1"/>
    <n v="1"/>
    <n v="0"/>
    <n v="0"/>
    <n v="0"/>
    <x v="0"/>
    <n v="0"/>
    <m/>
    <n v="54.4"/>
    <x v="0"/>
  </r>
  <r>
    <s v="USR-100627"/>
    <d v="2025-01-24T00:00:00"/>
    <x v="0"/>
    <s v="West"/>
    <x v="1"/>
    <s v="Paid Search"/>
    <s v="Basic"/>
    <n v="1"/>
    <n v="0"/>
    <n v="0"/>
    <n v="0"/>
    <n v="0"/>
    <x v="0"/>
    <n v="0"/>
    <m/>
    <n v="51.8"/>
    <x v="0"/>
  </r>
  <r>
    <s v="USR-100628"/>
    <d v="2025-04-10T00:00:00"/>
    <x v="0"/>
    <s v="South"/>
    <x v="1"/>
    <s v="Paid Search"/>
    <s v="Free"/>
    <n v="0"/>
    <n v="0"/>
    <n v="0"/>
    <n v="0"/>
    <n v="0"/>
    <x v="0"/>
    <n v="0"/>
    <m/>
    <n v="40.299999999999997"/>
    <x v="0"/>
  </r>
  <r>
    <s v="USR-100629"/>
    <d v="2025-02-19T00:00:00"/>
    <x v="0"/>
    <s v="South"/>
    <x v="1"/>
    <s v="Referral"/>
    <s v="Free"/>
    <n v="1"/>
    <n v="1"/>
    <n v="1"/>
    <n v="0"/>
    <n v="0"/>
    <x v="0"/>
    <n v="0"/>
    <m/>
    <n v="61.7"/>
    <x v="0"/>
  </r>
  <r>
    <s v="USR-100630"/>
    <d v="2025-03-22T00:00:00"/>
    <x v="0"/>
    <s v="North"/>
    <x v="1"/>
    <s v="Social"/>
    <s v="Free"/>
    <n v="0"/>
    <n v="0"/>
    <n v="0"/>
    <n v="0"/>
    <n v="0"/>
    <x v="0"/>
    <n v="0"/>
    <m/>
    <n v="45"/>
    <x v="0"/>
  </r>
  <r>
    <s v="USR-100631"/>
    <d v="2025-04-08T00:00:00"/>
    <x v="0"/>
    <s v="East"/>
    <x v="0"/>
    <s v="Organic"/>
    <s v="Premium"/>
    <n v="1"/>
    <n v="1"/>
    <n v="1"/>
    <n v="0"/>
    <n v="0"/>
    <x v="0"/>
    <n v="0"/>
    <m/>
    <n v="60"/>
    <x v="0"/>
  </r>
  <r>
    <s v="USR-100632"/>
    <d v="2025-03-16T00:00:00"/>
    <x v="0"/>
    <s v="North"/>
    <x v="1"/>
    <s v="Social"/>
    <s v="Free"/>
    <n v="1"/>
    <n v="0"/>
    <n v="0"/>
    <n v="0"/>
    <n v="0"/>
    <x v="0"/>
    <n v="0"/>
    <m/>
    <m/>
    <x v="0"/>
  </r>
  <r>
    <s v="USR-100633"/>
    <d v="2025-03-07T00:00:00"/>
    <x v="0"/>
    <s v="East"/>
    <x v="1"/>
    <s v="Paid Search"/>
    <s v="Free"/>
    <n v="1"/>
    <n v="0"/>
    <n v="0"/>
    <n v="0"/>
    <n v="0"/>
    <x v="0"/>
    <n v="0"/>
    <m/>
    <n v="55.5"/>
    <x v="0"/>
  </r>
  <r>
    <s v="USR-100634"/>
    <d v="2025-03-16T00:00:00"/>
    <x v="0"/>
    <s v="South"/>
    <x v="1"/>
    <s v="Referral"/>
    <s v="Basic"/>
    <n v="0"/>
    <n v="0"/>
    <n v="0"/>
    <n v="0"/>
    <n v="0"/>
    <x v="0"/>
    <n v="0"/>
    <m/>
    <n v="51.8"/>
    <x v="0"/>
  </r>
  <r>
    <s v="USR-100635"/>
    <d v="2025-05-26T00:00:00"/>
    <x v="0"/>
    <s v="East"/>
    <x v="1"/>
    <m/>
    <s v="Premium"/>
    <n v="1"/>
    <n v="0"/>
    <n v="0"/>
    <n v="0"/>
    <n v="0"/>
    <x v="3"/>
    <n v="0"/>
    <m/>
    <n v="56"/>
    <x v="0"/>
  </r>
  <r>
    <s v="USR-100636"/>
    <d v="2025-01-14T00:00:00"/>
    <x v="0"/>
    <s v="West"/>
    <x v="1"/>
    <s v="Organic"/>
    <s v="Free"/>
    <n v="0"/>
    <n v="0"/>
    <n v="0"/>
    <n v="0"/>
    <n v="0"/>
    <x v="0"/>
    <n v="0"/>
    <m/>
    <n v="52.5"/>
    <x v="0"/>
  </r>
  <r>
    <s v="USR-100637"/>
    <d v="2025-03-30T00:00:00"/>
    <x v="0"/>
    <s v="West"/>
    <x v="1"/>
    <s v="Paid Search"/>
    <s v="Premium"/>
    <n v="1"/>
    <n v="0"/>
    <n v="0"/>
    <n v="0"/>
    <n v="0"/>
    <x v="0"/>
    <n v="0"/>
    <m/>
    <n v="42.5"/>
    <x v="0"/>
  </r>
  <r>
    <s v="USR-100638"/>
    <d v="2025-05-12T00:00:00"/>
    <x v="0"/>
    <s v="East"/>
    <x v="0"/>
    <s v="Email"/>
    <s v="Free"/>
    <n v="1"/>
    <n v="1"/>
    <n v="1"/>
    <n v="0"/>
    <n v="0"/>
    <x v="0"/>
    <n v="0"/>
    <m/>
    <n v="65.3"/>
    <x v="0"/>
  </r>
  <r>
    <s v="USR-100639"/>
    <d v="2025-05-10T00:00:00"/>
    <x v="0"/>
    <s v="West"/>
    <x v="1"/>
    <s v="Paid Search"/>
    <s v="Free"/>
    <n v="0"/>
    <n v="0"/>
    <n v="0"/>
    <n v="0"/>
    <n v="0"/>
    <x v="0"/>
    <n v="0"/>
    <m/>
    <n v="37.6"/>
    <x v="0"/>
  </r>
  <r>
    <s v="USR-100640"/>
    <d v="2025-04-09T00:00:00"/>
    <x v="0"/>
    <s v="East"/>
    <x v="1"/>
    <s v="Social"/>
    <s v="Basic"/>
    <n v="0"/>
    <n v="0"/>
    <n v="0"/>
    <n v="0"/>
    <n v="0"/>
    <x v="0"/>
    <n v="0"/>
    <m/>
    <n v="57.8"/>
    <x v="0"/>
  </r>
  <r>
    <s v="USR-100641"/>
    <d v="2025-05-26T00:00:00"/>
    <x v="0"/>
    <s v="North"/>
    <x v="1"/>
    <s v="Social"/>
    <s v="Free"/>
    <n v="1"/>
    <n v="0"/>
    <n v="0"/>
    <n v="0"/>
    <n v="0"/>
    <x v="0"/>
    <n v="0"/>
    <m/>
    <n v="52.7"/>
    <x v="0"/>
  </r>
  <r>
    <s v="USR-100642"/>
    <d v="2025-02-12T00:00:00"/>
    <x v="0"/>
    <s v="North"/>
    <x v="1"/>
    <s v="Organic"/>
    <s v="Free"/>
    <n v="1"/>
    <n v="0"/>
    <n v="0"/>
    <n v="0"/>
    <n v="0"/>
    <x v="0"/>
    <n v="0"/>
    <m/>
    <n v="51.7"/>
    <x v="0"/>
  </r>
  <r>
    <s v="USR-100643"/>
    <d v="2025-04-01T00:00:00"/>
    <x v="0"/>
    <s v="North"/>
    <x v="0"/>
    <s v="Email"/>
    <s v="Basic"/>
    <n v="0"/>
    <n v="0"/>
    <n v="0"/>
    <n v="0"/>
    <n v="0"/>
    <x v="0"/>
    <n v="0"/>
    <m/>
    <n v="57"/>
    <x v="0"/>
  </r>
  <r>
    <s v="USR-100644"/>
    <d v="2025-01-18T00:00:00"/>
    <x v="0"/>
    <s v="South"/>
    <x v="0"/>
    <s v="Organic"/>
    <s v="Basic"/>
    <n v="0"/>
    <n v="0"/>
    <n v="0"/>
    <n v="0"/>
    <n v="0"/>
    <x v="0"/>
    <n v="0"/>
    <m/>
    <n v="39.5"/>
    <x v="0"/>
  </r>
  <r>
    <s v="USR-100645"/>
    <d v="2025-04-06T00:00:00"/>
    <x v="0"/>
    <s v="East"/>
    <x v="2"/>
    <s v="Organic"/>
    <s v="Free"/>
    <n v="1"/>
    <n v="0"/>
    <n v="0"/>
    <n v="0"/>
    <n v="0"/>
    <x v="0"/>
    <n v="0"/>
    <m/>
    <n v="76.5"/>
    <x v="0"/>
  </r>
  <r>
    <s v="USR-100646"/>
    <d v="2025-04-17T00:00:00"/>
    <x v="0"/>
    <s v="East"/>
    <x v="1"/>
    <s v="Organic"/>
    <s v="Free"/>
    <n v="1"/>
    <n v="0"/>
    <n v="0"/>
    <n v="0"/>
    <n v="0"/>
    <x v="0"/>
    <n v="0"/>
    <m/>
    <n v="32.4"/>
    <x v="0"/>
  </r>
  <r>
    <s v="USR-100647"/>
    <d v="2025-02-07T00:00:00"/>
    <x v="0"/>
    <s v="North"/>
    <x v="0"/>
    <s v="Paid Search"/>
    <s v="Free"/>
    <n v="0"/>
    <n v="0"/>
    <n v="0"/>
    <n v="0"/>
    <n v="0"/>
    <x v="0"/>
    <n v="0"/>
    <m/>
    <n v="58.6"/>
    <x v="0"/>
  </r>
  <r>
    <s v="USR-100648"/>
    <d v="2025-03-04T00:00:00"/>
    <x v="0"/>
    <s v="East"/>
    <x v="1"/>
    <s v="Organic"/>
    <s v="Basic"/>
    <n v="1"/>
    <n v="0"/>
    <n v="0"/>
    <n v="0"/>
    <n v="0"/>
    <x v="0"/>
    <n v="0"/>
    <m/>
    <n v="78.599999999999994"/>
    <x v="0"/>
  </r>
  <r>
    <s v="USR-100649"/>
    <d v="2025-02-17T00:00:00"/>
    <x v="0"/>
    <s v="North"/>
    <x v="0"/>
    <s v="Organic"/>
    <s v="Premium"/>
    <n v="0"/>
    <n v="0"/>
    <n v="0"/>
    <n v="0"/>
    <n v="0"/>
    <x v="0"/>
    <n v="0"/>
    <m/>
    <n v="54.5"/>
    <x v="0"/>
  </r>
  <r>
    <s v="USR-100650"/>
    <d v="2025-05-06T00:00:00"/>
    <x v="0"/>
    <s v="South"/>
    <x v="1"/>
    <s v="Referral"/>
    <s v="Free"/>
    <n v="1"/>
    <n v="0"/>
    <n v="0"/>
    <n v="0"/>
    <n v="0"/>
    <x v="0"/>
    <n v="0"/>
    <m/>
    <n v="57.6"/>
    <x v="0"/>
  </r>
  <r>
    <s v="USR-100651"/>
    <d v="2025-03-25T00:00:00"/>
    <x v="0"/>
    <s v="South"/>
    <x v="1"/>
    <s v="Referral"/>
    <s v="Premium"/>
    <n v="0"/>
    <n v="0"/>
    <n v="0"/>
    <n v="0"/>
    <n v="0"/>
    <x v="0"/>
    <n v="0"/>
    <m/>
    <n v="52.8"/>
    <x v="0"/>
  </r>
  <r>
    <s v="USR-100652"/>
    <d v="2025-03-04T00:00:00"/>
    <x v="0"/>
    <s v="West"/>
    <x v="1"/>
    <s v="Email"/>
    <s v="Premium"/>
    <n v="1"/>
    <n v="0"/>
    <n v="0"/>
    <n v="0"/>
    <n v="0"/>
    <x v="0"/>
    <n v="0"/>
    <m/>
    <n v="52.9"/>
    <x v="0"/>
  </r>
  <r>
    <s v="USR-100653"/>
    <d v="2025-05-09T00:00:00"/>
    <x v="0"/>
    <s v="West"/>
    <x v="1"/>
    <s v="Organic"/>
    <s v="Free"/>
    <n v="1"/>
    <n v="0"/>
    <n v="0"/>
    <n v="0"/>
    <n v="0"/>
    <x v="1"/>
    <n v="0"/>
    <m/>
    <n v="55.9"/>
    <x v="0"/>
  </r>
  <r>
    <s v="USR-100654"/>
    <d v="2025-05-17T00:00:00"/>
    <x v="0"/>
    <s v="West"/>
    <x v="1"/>
    <s v="Referral"/>
    <s v="Premium"/>
    <n v="1"/>
    <n v="0"/>
    <n v="0"/>
    <n v="0"/>
    <n v="0"/>
    <x v="0"/>
    <n v="0"/>
    <m/>
    <n v="74.2"/>
    <x v="0"/>
  </r>
  <r>
    <s v="USR-100655"/>
    <d v="2025-01-12T00:00:00"/>
    <x v="0"/>
    <s v="West"/>
    <x v="1"/>
    <s v="Organic"/>
    <s v="Free"/>
    <n v="0"/>
    <n v="0"/>
    <n v="0"/>
    <n v="0"/>
    <n v="0"/>
    <x v="0"/>
    <n v="0"/>
    <m/>
    <n v="46.3"/>
    <x v="0"/>
  </r>
  <r>
    <s v="USR-100656"/>
    <d v="2025-03-12T00:00:00"/>
    <x v="0"/>
    <s v="West"/>
    <x v="1"/>
    <s v="Organic"/>
    <s v="Premium"/>
    <n v="1"/>
    <n v="0"/>
    <n v="0"/>
    <n v="0"/>
    <n v="0"/>
    <x v="0"/>
    <n v="0"/>
    <m/>
    <n v="62"/>
    <x v="0"/>
  </r>
  <r>
    <s v="USR-100657"/>
    <d v="2025-04-02T00:00:00"/>
    <x v="0"/>
    <s v="South"/>
    <x v="1"/>
    <s v="Organic"/>
    <s v="Basic"/>
    <n v="0"/>
    <n v="0"/>
    <n v="0"/>
    <n v="0"/>
    <n v="0"/>
    <x v="0"/>
    <n v="0"/>
    <m/>
    <n v="55.6"/>
    <x v="0"/>
  </r>
  <r>
    <s v="USR-100658"/>
    <d v="2025-01-13T00:00:00"/>
    <x v="0"/>
    <s v="South"/>
    <x v="1"/>
    <s v="Organic"/>
    <s v="Basic"/>
    <n v="1"/>
    <n v="0"/>
    <n v="0"/>
    <n v="0"/>
    <n v="0"/>
    <x v="0"/>
    <n v="0"/>
    <m/>
    <n v="62.8"/>
    <x v="0"/>
  </r>
  <r>
    <s v="USR-100659"/>
    <d v="2025-03-07T00:00:00"/>
    <x v="0"/>
    <s v="East"/>
    <x v="1"/>
    <s v="Referral"/>
    <s v="Free"/>
    <n v="0"/>
    <n v="0"/>
    <n v="0"/>
    <n v="0"/>
    <n v="0"/>
    <x v="0"/>
    <n v="0"/>
    <m/>
    <n v="73.099999999999994"/>
    <x v="0"/>
  </r>
  <r>
    <s v="USR-100660"/>
    <d v="2025-04-20T00:00:00"/>
    <x v="0"/>
    <s v="South"/>
    <x v="0"/>
    <s v="Social"/>
    <s v="Free"/>
    <n v="1"/>
    <n v="1"/>
    <n v="1"/>
    <n v="1"/>
    <n v="347.52"/>
    <x v="0"/>
    <n v="0"/>
    <n v="2"/>
    <n v="57.2"/>
    <x v="0"/>
  </r>
  <r>
    <s v="USR-100661"/>
    <d v="2025-01-07T00:00:00"/>
    <x v="0"/>
    <s v="South"/>
    <x v="1"/>
    <s v="Paid Search"/>
    <s v="Free"/>
    <n v="1"/>
    <n v="0"/>
    <n v="0"/>
    <n v="0"/>
    <n v="0"/>
    <x v="0"/>
    <n v="0"/>
    <m/>
    <n v="67.900000000000006"/>
    <x v="0"/>
  </r>
  <r>
    <s v="USR-100662"/>
    <d v="2025-04-23T00:00:00"/>
    <x v="0"/>
    <s v="South"/>
    <x v="1"/>
    <s v="Referral"/>
    <s v="Free"/>
    <n v="0"/>
    <n v="0"/>
    <n v="0"/>
    <n v="0"/>
    <n v="0"/>
    <x v="0"/>
    <n v="0"/>
    <m/>
    <n v="50.1"/>
    <x v="0"/>
  </r>
  <r>
    <s v="USR-100663"/>
    <d v="2025-05-26T00:00:00"/>
    <x v="0"/>
    <s v="North"/>
    <x v="1"/>
    <s v="Paid Search"/>
    <s v="Basic"/>
    <n v="0"/>
    <n v="0"/>
    <n v="0"/>
    <n v="0"/>
    <n v="0"/>
    <x v="0"/>
    <n v="0"/>
    <m/>
    <n v="67.8"/>
    <x v="0"/>
  </r>
  <r>
    <s v="USR-100664"/>
    <d v="2025-03-17T00:00:00"/>
    <x v="0"/>
    <s v="North"/>
    <x v="0"/>
    <s v="Social"/>
    <s v="Basic"/>
    <n v="1"/>
    <n v="1"/>
    <n v="1"/>
    <n v="0"/>
    <n v="0"/>
    <x v="0"/>
    <n v="0"/>
    <m/>
    <n v="60.8"/>
    <x v="0"/>
  </r>
  <r>
    <s v="USR-100665"/>
    <d v="2025-05-17T00:00:00"/>
    <x v="0"/>
    <s v="North"/>
    <x v="0"/>
    <s v="Paid Search"/>
    <s v="Basic"/>
    <n v="1"/>
    <n v="0"/>
    <n v="0"/>
    <n v="0"/>
    <n v="0"/>
    <x v="3"/>
    <n v="0"/>
    <m/>
    <n v="33.700000000000003"/>
    <x v="0"/>
  </r>
  <r>
    <s v="USR-100666"/>
    <d v="2025-02-21T00:00:00"/>
    <x v="0"/>
    <s v="North"/>
    <x v="1"/>
    <s v="Paid Search"/>
    <s v="Basic"/>
    <n v="0"/>
    <n v="0"/>
    <n v="0"/>
    <n v="0"/>
    <n v="0"/>
    <x v="0"/>
    <n v="0"/>
    <m/>
    <n v="45.2"/>
    <x v="0"/>
  </r>
  <r>
    <s v="USR-100667"/>
    <d v="2025-02-25T00:00:00"/>
    <x v="0"/>
    <s v="East"/>
    <x v="0"/>
    <s v="Paid Search"/>
    <s v="Premium"/>
    <n v="0"/>
    <n v="0"/>
    <n v="0"/>
    <n v="0"/>
    <n v="0"/>
    <x v="0"/>
    <n v="0"/>
    <m/>
    <n v="48.2"/>
    <x v="0"/>
  </r>
  <r>
    <s v="USR-100668"/>
    <d v="2025-01-30T00:00:00"/>
    <x v="0"/>
    <s v="South"/>
    <x v="1"/>
    <s v="Social"/>
    <s v="Free"/>
    <n v="1"/>
    <n v="1"/>
    <n v="0"/>
    <n v="0"/>
    <n v="0"/>
    <x v="1"/>
    <n v="0"/>
    <m/>
    <n v="44.8"/>
    <x v="0"/>
  </r>
  <r>
    <s v="USR-100669"/>
    <d v="2025-02-17T00:00:00"/>
    <x v="0"/>
    <s v="North"/>
    <x v="2"/>
    <s v="Social"/>
    <s v="Basic"/>
    <n v="0"/>
    <n v="0"/>
    <n v="0"/>
    <n v="0"/>
    <n v="0"/>
    <x v="0"/>
    <n v="0"/>
    <m/>
    <n v="52.1"/>
    <x v="0"/>
  </r>
  <r>
    <s v="USR-100670"/>
    <d v="2025-05-17T00:00:00"/>
    <x v="0"/>
    <s v="North"/>
    <x v="0"/>
    <s v="Paid Search"/>
    <s v="Basic"/>
    <n v="1"/>
    <n v="0"/>
    <n v="0"/>
    <n v="0"/>
    <n v="0"/>
    <x v="0"/>
    <n v="0"/>
    <m/>
    <n v="30.7"/>
    <x v="0"/>
  </r>
  <r>
    <s v="USR-100671"/>
    <d v="2025-04-30T00:00:00"/>
    <x v="0"/>
    <s v="East"/>
    <x v="0"/>
    <s v="Paid Search"/>
    <s v="Free"/>
    <n v="1"/>
    <n v="0"/>
    <n v="0"/>
    <n v="0"/>
    <n v="0"/>
    <x v="0"/>
    <n v="0"/>
    <m/>
    <n v="58.4"/>
    <x v="0"/>
  </r>
  <r>
    <s v="USR-100672"/>
    <d v="2025-03-22T00:00:00"/>
    <x v="0"/>
    <s v="West"/>
    <x v="1"/>
    <s v="Referral"/>
    <s v="Free"/>
    <n v="1"/>
    <n v="1"/>
    <n v="0"/>
    <n v="0"/>
    <n v="0"/>
    <x v="0"/>
    <n v="0"/>
    <m/>
    <n v="52.6"/>
    <x v="0"/>
  </r>
  <r>
    <s v="USR-100673"/>
    <d v="2025-01-10T00:00:00"/>
    <x v="0"/>
    <s v="West"/>
    <x v="3"/>
    <s v="Paid Search"/>
    <s v="Free"/>
    <n v="1"/>
    <n v="0"/>
    <n v="0"/>
    <n v="0"/>
    <n v="0"/>
    <x v="1"/>
    <n v="0"/>
    <m/>
    <n v="19.100000000000001"/>
    <x v="0"/>
  </r>
  <r>
    <s v="USR-100674"/>
    <d v="2025-03-21T00:00:00"/>
    <x v="0"/>
    <s v="South"/>
    <x v="3"/>
    <s v="Paid Search"/>
    <s v="Free"/>
    <n v="1"/>
    <n v="0"/>
    <n v="0"/>
    <n v="0"/>
    <n v="0"/>
    <x v="0"/>
    <n v="0"/>
    <m/>
    <n v="36.799999999999997"/>
    <x v="0"/>
  </r>
  <r>
    <s v="USR-100675"/>
    <d v="2025-05-12T00:00:00"/>
    <x v="0"/>
    <s v="North"/>
    <x v="0"/>
    <s v="Paid Search"/>
    <s v="Basic"/>
    <n v="0"/>
    <n v="0"/>
    <n v="0"/>
    <n v="0"/>
    <n v="0"/>
    <x v="0"/>
    <n v="0"/>
    <m/>
    <n v="68.5"/>
    <x v="0"/>
  </r>
  <r>
    <s v="USR-100676"/>
    <d v="2025-05-24T00:00:00"/>
    <x v="0"/>
    <s v="West"/>
    <x v="1"/>
    <s v="Paid Search"/>
    <s v="Free"/>
    <n v="1"/>
    <n v="1"/>
    <n v="1"/>
    <n v="0"/>
    <n v="0"/>
    <x v="0"/>
    <n v="0"/>
    <m/>
    <n v="40.1"/>
    <x v="0"/>
  </r>
  <r>
    <s v="USR-100677"/>
    <d v="2025-05-03T00:00:00"/>
    <x v="0"/>
    <s v="West"/>
    <x v="2"/>
    <s v="Organic"/>
    <s v="Free"/>
    <n v="1"/>
    <n v="0"/>
    <n v="0"/>
    <n v="0"/>
    <n v="0"/>
    <x v="0"/>
    <n v="0"/>
    <m/>
    <n v="47.5"/>
    <x v="0"/>
  </r>
  <r>
    <s v="USR-100678"/>
    <d v="2025-01-14T00:00:00"/>
    <x v="0"/>
    <s v="South"/>
    <x v="1"/>
    <s v="Organic"/>
    <s v="Basic"/>
    <n v="1"/>
    <n v="0"/>
    <n v="0"/>
    <n v="0"/>
    <n v="0"/>
    <x v="0"/>
    <n v="0"/>
    <m/>
    <n v="77.099999999999994"/>
    <x v="0"/>
  </r>
  <r>
    <s v="USR-100679"/>
    <d v="2025-03-27T00:00:00"/>
    <x v="0"/>
    <s v="West"/>
    <x v="1"/>
    <s v="Social"/>
    <s v="Basic"/>
    <n v="1"/>
    <n v="0"/>
    <n v="0"/>
    <n v="0"/>
    <n v="0"/>
    <x v="0"/>
    <n v="0"/>
    <m/>
    <n v="75.900000000000006"/>
    <x v="0"/>
  </r>
  <r>
    <s v="USR-100680"/>
    <d v="2025-02-28T00:00:00"/>
    <x v="0"/>
    <s v="North"/>
    <x v="0"/>
    <s v="Referral"/>
    <s v="Premium"/>
    <n v="0"/>
    <n v="0"/>
    <n v="0"/>
    <n v="0"/>
    <n v="0"/>
    <x v="1"/>
    <n v="0"/>
    <m/>
    <n v="52"/>
    <x v="0"/>
  </r>
  <r>
    <s v="USR-100681"/>
    <d v="2025-05-12T00:00:00"/>
    <x v="0"/>
    <s v="West"/>
    <x v="0"/>
    <s v="Referral"/>
    <s v="Premium"/>
    <n v="1"/>
    <n v="1"/>
    <n v="1"/>
    <n v="0"/>
    <n v="0"/>
    <x v="0"/>
    <n v="0"/>
    <m/>
    <n v="64.900000000000006"/>
    <x v="0"/>
  </r>
  <r>
    <s v="USR-100682"/>
    <d v="2025-03-14T00:00:00"/>
    <x v="0"/>
    <s v="North"/>
    <x v="1"/>
    <s v="Organic"/>
    <s v="Free"/>
    <n v="1"/>
    <n v="0"/>
    <n v="0"/>
    <n v="0"/>
    <n v="0"/>
    <x v="0"/>
    <n v="0"/>
    <m/>
    <n v="48.2"/>
    <x v="0"/>
  </r>
  <r>
    <s v="USR-100683"/>
    <d v="2025-05-20T00:00:00"/>
    <x v="0"/>
    <s v="East"/>
    <x v="1"/>
    <s v="Organic"/>
    <s v="Basic"/>
    <n v="0"/>
    <n v="0"/>
    <n v="0"/>
    <n v="0"/>
    <n v="0"/>
    <x v="0"/>
    <n v="0"/>
    <m/>
    <n v="42.1"/>
    <x v="0"/>
  </r>
  <r>
    <s v="USR-100684"/>
    <d v="2025-02-24T00:00:00"/>
    <x v="0"/>
    <s v="South"/>
    <x v="0"/>
    <s v="Referral"/>
    <s v="Free"/>
    <n v="0"/>
    <n v="0"/>
    <n v="0"/>
    <n v="0"/>
    <n v="0"/>
    <x v="0"/>
    <n v="0"/>
    <m/>
    <n v="27.6"/>
    <x v="0"/>
  </r>
  <r>
    <s v="USR-100685"/>
    <d v="2025-02-13T00:00:00"/>
    <x v="0"/>
    <s v="West"/>
    <x v="1"/>
    <s v="Organic"/>
    <s v="Premium"/>
    <n v="1"/>
    <n v="0"/>
    <n v="0"/>
    <n v="0"/>
    <n v="0"/>
    <x v="1"/>
    <n v="0"/>
    <m/>
    <n v="68.5"/>
    <x v="0"/>
  </r>
  <r>
    <s v="USR-100686"/>
    <d v="2025-02-06T00:00:00"/>
    <x v="0"/>
    <s v="South"/>
    <x v="0"/>
    <s v="Organic"/>
    <s v="Free"/>
    <n v="1"/>
    <n v="1"/>
    <n v="1"/>
    <n v="0"/>
    <n v="0"/>
    <x v="0"/>
    <n v="0"/>
    <m/>
    <n v="59.2"/>
    <x v="0"/>
  </r>
  <r>
    <s v="USR-100687"/>
    <d v="2025-03-02T00:00:00"/>
    <x v="0"/>
    <s v="North"/>
    <x v="1"/>
    <s v="Social"/>
    <s v="Basic"/>
    <n v="1"/>
    <n v="0"/>
    <n v="0"/>
    <n v="0"/>
    <n v="0"/>
    <x v="0"/>
    <n v="0"/>
    <m/>
    <n v="63.3"/>
    <x v="0"/>
  </r>
  <r>
    <s v="USR-100688"/>
    <d v="2025-04-28T00:00:00"/>
    <x v="0"/>
    <s v="East"/>
    <x v="0"/>
    <s v="Paid Search"/>
    <s v="Free"/>
    <n v="0"/>
    <n v="0"/>
    <n v="0"/>
    <n v="0"/>
    <n v="0"/>
    <x v="0"/>
    <n v="0"/>
    <m/>
    <n v="55"/>
    <x v="0"/>
  </r>
  <r>
    <s v="USR-100689"/>
    <d v="2025-05-27T00:00:00"/>
    <x v="0"/>
    <s v="North"/>
    <x v="0"/>
    <m/>
    <s v="Premium"/>
    <n v="1"/>
    <n v="0"/>
    <n v="0"/>
    <n v="0"/>
    <n v="0"/>
    <x v="0"/>
    <n v="0"/>
    <m/>
    <n v="64.8"/>
    <x v="0"/>
  </r>
  <r>
    <s v="USR-100690"/>
    <d v="2025-04-07T00:00:00"/>
    <x v="0"/>
    <s v="South"/>
    <x v="0"/>
    <s v="Organic"/>
    <s v="Basic"/>
    <n v="0"/>
    <n v="0"/>
    <n v="0"/>
    <n v="0"/>
    <n v="0"/>
    <x v="2"/>
    <n v="0"/>
    <m/>
    <n v="41.8"/>
    <x v="0"/>
  </r>
  <r>
    <s v="USR-100433"/>
    <d v="2025-02-03T00:00:00"/>
    <x v="0"/>
    <s v="North"/>
    <x v="2"/>
    <s v="Email"/>
    <s v="Basic"/>
    <n v="1"/>
    <n v="0"/>
    <n v="0"/>
    <n v="0"/>
    <n v="0"/>
    <x v="0"/>
    <n v="0"/>
    <m/>
    <n v="60.9"/>
    <x v="1"/>
  </r>
  <r>
    <s v="USR-100541"/>
    <d v="2025-05-22T00:00:00"/>
    <x v="0"/>
    <s v="North"/>
    <x v="1"/>
    <s v="Paid Search"/>
    <s v="Basic"/>
    <n v="1"/>
    <n v="1"/>
    <n v="0"/>
    <n v="0"/>
    <n v="0"/>
    <x v="0"/>
    <n v="0"/>
    <m/>
    <n v="39.9"/>
    <x v="0"/>
  </r>
  <r>
    <s v="USR-100541"/>
    <d v="2025-05-22T00:00:00"/>
    <x v="0"/>
    <s v="North"/>
    <x v="1"/>
    <s v="Paid Search"/>
    <s v="Basic"/>
    <n v="1"/>
    <n v="1"/>
    <n v="0"/>
    <n v="0"/>
    <n v="0"/>
    <x v="0"/>
    <n v="0"/>
    <m/>
    <n v="39.9"/>
    <x v="1"/>
  </r>
  <r>
    <s v="USR-100691"/>
    <d v="2025-04-14T00:00:00"/>
    <x v="1"/>
    <s v="East"/>
    <x v="0"/>
    <s v="Social"/>
    <s v="Basic"/>
    <n v="1"/>
    <n v="0"/>
    <n v="0"/>
    <n v="0"/>
    <n v="0"/>
    <x v="0"/>
    <n v="0"/>
    <m/>
    <n v="73.2"/>
    <x v="0"/>
  </r>
  <r>
    <s v="USR-100692"/>
    <d v="2025-05-09T00:00:00"/>
    <x v="1"/>
    <s v="East"/>
    <x v="0"/>
    <s v="Organic"/>
    <s v="Basic"/>
    <n v="1"/>
    <n v="1"/>
    <n v="1"/>
    <n v="0"/>
    <n v="0"/>
    <x v="3"/>
    <n v="0"/>
    <m/>
    <n v="55.7"/>
    <x v="0"/>
  </r>
  <r>
    <s v="USR-100693"/>
    <d v="2025-03-21T00:00:00"/>
    <x v="1"/>
    <s v="North"/>
    <x v="1"/>
    <s v="Organic"/>
    <s v="Free"/>
    <n v="1"/>
    <n v="1"/>
    <n v="1"/>
    <n v="0"/>
    <n v="0"/>
    <x v="0"/>
    <n v="0"/>
    <m/>
    <n v="82.8"/>
    <x v="0"/>
  </r>
  <r>
    <s v="USR-100694"/>
    <d v="2025-03-27T00:00:00"/>
    <x v="1"/>
    <s v="North"/>
    <x v="0"/>
    <s v="Social"/>
    <s v="Free"/>
    <n v="1"/>
    <n v="0"/>
    <n v="0"/>
    <n v="0"/>
    <n v="0"/>
    <x v="0"/>
    <n v="0"/>
    <m/>
    <m/>
    <x v="0"/>
  </r>
  <r>
    <s v="USR-100695"/>
    <d v="2025-01-21T00:00:00"/>
    <x v="1"/>
    <s v="South"/>
    <x v="1"/>
    <s v="Paid Search"/>
    <s v="Free"/>
    <n v="0"/>
    <n v="0"/>
    <n v="0"/>
    <n v="0"/>
    <n v="0"/>
    <x v="0"/>
    <n v="0"/>
    <m/>
    <n v="34.4"/>
    <x v="0"/>
  </r>
  <r>
    <s v="USR-100696"/>
    <d v="2025-03-19T00:00:00"/>
    <x v="1"/>
    <s v="East"/>
    <x v="0"/>
    <s v="Email"/>
    <s v="Free"/>
    <n v="1"/>
    <n v="0"/>
    <n v="0"/>
    <n v="0"/>
    <n v="0"/>
    <x v="0"/>
    <n v="0"/>
    <m/>
    <n v="45.2"/>
    <x v="0"/>
  </r>
  <r>
    <s v="USR-100697"/>
    <d v="2025-05-27T00:00:00"/>
    <x v="1"/>
    <s v="North"/>
    <x v="1"/>
    <s v="Organic"/>
    <s v="Basic"/>
    <n v="1"/>
    <n v="0"/>
    <n v="0"/>
    <n v="0"/>
    <n v="0"/>
    <x v="0"/>
    <n v="0"/>
    <m/>
    <n v="71.599999999999994"/>
    <x v="0"/>
  </r>
  <r>
    <s v="USR-100698"/>
    <d v="2025-01-01T00:00:00"/>
    <x v="1"/>
    <s v="North"/>
    <x v="1"/>
    <s v="Social"/>
    <s v="Free"/>
    <n v="1"/>
    <n v="1"/>
    <n v="1"/>
    <n v="0"/>
    <n v="0"/>
    <x v="0"/>
    <n v="0"/>
    <m/>
    <n v="69.099999999999994"/>
    <x v="0"/>
  </r>
  <r>
    <s v="USR-100699"/>
    <d v="2025-03-29T00:00:00"/>
    <x v="1"/>
    <s v="West"/>
    <x v="0"/>
    <s v="Paid Search"/>
    <s v="Premium"/>
    <n v="1"/>
    <n v="0"/>
    <n v="0"/>
    <n v="0"/>
    <n v="0"/>
    <x v="1"/>
    <n v="0"/>
    <m/>
    <n v="37.700000000000003"/>
    <x v="0"/>
  </r>
  <r>
    <s v="USR-100700"/>
    <d v="2025-03-17T00:00:00"/>
    <x v="1"/>
    <s v="West"/>
    <x v="0"/>
    <s v="Organic"/>
    <s v="Basic"/>
    <n v="1"/>
    <n v="0"/>
    <n v="0"/>
    <n v="0"/>
    <n v="0"/>
    <x v="1"/>
    <n v="0"/>
    <m/>
    <n v="60.8"/>
    <x v="0"/>
  </r>
  <r>
    <s v="USR-100701"/>
    <d v="2025-05-05T00:00:00"/>
    <x v="1"/>
    <s v="North"/>
    <x v="1"/>
    <s v="Organic"/>
    <s v="Free"/>
    <n v="1"/>
    <n v="1"/>
    <n v="1"/>
    <n v="1"/>
    <n v="444.13"/>
    <x v="0"/>
    <n v="0"/>
    <n v="10"/>
    <n v="80.7"/>
    <x v="0"/>
  </r>
  <r>
    <s v="USR-100702"/>
    <d v="2025-05-04T00:00:00"/>
    <x v="1"/>
    <s v="South"/>
    <x v="1"/>
    <s v="Social"/>
    <s v="Free"/>
    <n v="1"/>
    <n v="0"/>
    <n v="0"/>
    <n v="0"/>
    <n v="0"/>
    <x v="0"/>
    <n v="0"/>
    <m/>
    <n v="69.2"/>
    <x v="0"/>
  </r>
  <r>
    <s v="USR-100703"/>
    <d v="2025-03-25T00:00:00"/>
    <x v="1"/>
    <s v="North"/>
    <x v="1"/>
    <s v="Social"/>
    <s v="Premium"/>
    <n v="0"/>
    <n v="0"/>
    <n v="0"/>
    <n v="0"/>
    <n v="0"/>
    <x v="3"/>
    <n v="0"/>
    <m/>
    <n v="55"/>
    <x v="0"/>
  </r>
  <r>
    <s v="USR-100704"/>
    <d v="2025-04-17T00:00:00"/>
    <x v="1"/>
    <s v="West"/>
    <x v="1"/>
    <s v="Email"/>
    <s v="Free"/>
    <n v="0"/>
    <n v="0"/>
    <n v="0"/>
    <n v="0"/>
    <n v="0"/>
    <x v="1"/>
    <n v="0"/>
    <m/>
    <n v="73.599999999999994"/>
    <x v="0"/>
  </r>
  <r>
    <s v="USR-100705"/>
    <d v="2025-05-23T00:00:00"/>
    <x v="1"/>
    <s v="South"/>
    <x v="1"/>
    <s v="Referral"/>
    <s v="Basic"/>
    <n v="1"/>
    <n v="1"/>
    <n v="1"/>
    <n v="0"/>
    <n v="0"/>
    <x v="1"/>
    <n v="0"/>
    <m/>
    <n v="47.3"/>
    <x v="0"/>
  </r>
  <r>
    <s v="USR-100706"/>
    <d v="2025-01-13T00:00:00"/>
    <x v="1"/>
    <s v="North"/>
    <x v="1"/>
    <s v="Organic"/>
    <s v="Basic"/>
    <n v="0"/>
    <n v="0"/>
    <n v="0"/>
    <n v="0"/>
    <n v="0"/>
    <x v="0"/>
    <n v="0"/>
    <m/>
    <n v="43.6"/>
    <x v="0"/>
  </r>
  <r>
    <s v="USR-100707"/>
    <d v="2025-01-29T00:00:00"/>
    <x v="1"/>
    <s v="North"/>
    <x v="0"/>
    <s v="Organic"/>
    <s v="Basic"/>
    <n v="1"/>
    <n v="0"/>
    <n v="0"/>
    <n v="0"/>
    <n v="0"/>
    <x v="0"/>
    <n v="0"/>
    <m/>
    <m/>
    <x v="0"/>
  </r>
  <r>
    <s v="USR-100708"/>
    <d v="2025-05-11T00:00:00"/>
    <x v="1"/>
    <s v="South"/>
    <x v="1"/>
    <s v="Email"/>
    <s v="Free"/>
    <n v="0"/>
    <n v="0"/>
    <n v="0"/>
    <n v="0"/>
    <n v="0"/>
    <x v="0"/>
    <n v="0"/>
    <m/>
    <n v="55.2"/>
    <x v="0"/>
  </r>
  <r>
    <s v="USR-100709"/>
    <d v="2025-04-22T00:00:00"/>
    <x v="1"/>
    <s v="South"/>
    <x v="1"/>
    <s v="Organic"/>
    <s v="Basic"/>
    <n v="1"/>
    <n v="0"/>
    <n v="0"/>
    <n v="0"/>
    <n v="0"/>
    <x v="0"/>
    <n v="0"/>
    <m/>
    <n v="49.4"/>
    <x v="0"/>
  </r>
  <r>
    <s v="USR-100710"/>
    <d v="2025-03-03T00:00:00"/>
    <x v="1"/>
    <s v="South"/>
    <x v="1"/>
    <s v="Social"/>
    <s v="Free"/>
    <n v="1"/>
    <n v="1"/>
    <n v="1"/>
    <n v="0"/>
    <n v="0"/>
    <x v="1"/>
    <n v="0"/>
    <m/>
    <n v="60.1"/>
    <x v="0"/>
  </r>
  <r>
    <s v="USR-100711"/>
    <d v="2025-03-18T00:00:00"/>
    <x v="1"/>
    <s v="North"/>
    <x v="1"/>
    <s v="Referral"/>
    <s v="Free"/>
    <n v="1"/>
    <n v="0"/>
    <n v="0"/>
    <n v="0"/>
    <n v="0"/>
    <x v="0"/>
    <n v="0"/>
    <m/>
    <n v="55.9"/>
    <x v="0"/>
  </r>
  <r>
    <s v="USR-100712"/>
    <d v="2025-04-05T00:00:00"/>
    <x v="1"/>
    <s v="North"/>
    <x v="1"/>
    <s v="Organic"/>
    <s v="Basic"/>
    <n v="1"/>
    <n v="0"/>
    <n v="0"/>
    <n v="0"/>
    <n v="0"/>
    <x v="0"/>
    <n v="0"/>
    <m/>
    <n v="51.5"/>
    <x v="0"/>
  </r>
  <r>
    <s v="USR-100713"/>
    <d v="2025-04-16T00:00:00"/>
    <x v="1"/>
    <s v="East"/>
    <x v="1"/>
    <s v="Organic"/>
    <s v="Free"/>
    <n v="1"/>
    <n v="1"/>
    <n v="1"/>
    <n v="1"/>
    <n v="516.66999999999996"/>
    <x v="0"/>
    <n v="0"/>
    <n v="11"/>
    <n v="57.9"/>
    <x v="0"/>
  </r>
  <r>
    <s v="USR-100714"/>
    <d v="2025-04-20T00:00:00"/>
    <x v="1"/>
    <s v="South"/>
    <x v="1"/>
    <s v="Referral"/>
    <s v="Free"/>
    <n v="1"/>
    <n v="1"/>
    <n v="1"/>
    <n v="1"/>
    <n v="277.18"/>
    <x v="2"/>
    <n v="0"/>
    <n v="8"/>
    <n v="59.2"/>
    <x v="0"/>
  </r>
  <r>
    <s v="USR-100715"/>
    <d v="2025-02-15T00:00:00"/>
    <x v="1"/>
    <s v="South"/>
    <x v="1"/>
    <s v="Organic"/>
    <s v="Free"/>
    <n v="0"/>
    <n v="0"/>
    <n v="0"/>
    <n v="0"/>
    <n v="0"/>
    <x v="0"/>
    <n v="0"/>
    <m/>
    <n v="64.2"/>
    <x v="0"/>
  </r>
  <r>
    <s v="USR-100716"/>
    <d v="2025-01-21T00:00:00"/>
    <x v="1"/>
    <s v="South"/>
    <x v="1"/>
    <s v="Organic"/>
    <s v="Free"/>
    <n v="1"/>
    <n v="0"/>
    <n v="0"/>
    <n v="0"/>
    <n v="0"/>
    <x v="0"/>
    <n v="0"/>
    <m/>
    <n v="68.8"/>
    <x v="0"/>
  </r>
  <r>
    <s v="USR-100717"/>
    <d v="2025-05-23T00:00:00"/>
    <x v="1"/>
    <s v="North"/>
    <x v="1"/>
    <s v="Paid Search"/>
    <s v="Premium"/>
    <n v="1"/>
    <n v="1"/>
    <n v="1"/>
    <n v="0"/>
    <n v="0"/>
    <x v="0"/>
    <n v="0"/>
    <m/>
    <n v="77.900000000000006"/>
    <x v="0"/>
  </r>
  <r>
    <s v="USR-100718"/>
    <d v="2025-01-22T00:00:00"/>
    <x v="1"/>
    <s v="West"/>
    <x v="1"/>
    <s v="Paid Search"/>
    <s v="Basic"/>
    <n v="0"/>
    <n v="0"/>
    <n v="0"/>
    <n v="0"/>
    <n v="0"/>
    <x v="0"/>
    <n v="0"/>
    <m/>
    <n v="92.1"/>
    <x v="0"/>
  </r>
  <r>
    <s v="USR-100719"/>
    <d v="2025-04-24T00:00:00"/>
    <x v="1"/>
    <s v="West"/>
    <x v="1"/>
    <s v="Paid Search"/>
    <s v="Premium"/>
    <n v="0"/>
    <n v="0"/>
    <n v="0"/>
    <n v="0"/>
    <n v="0"/>
    <x v="0"/>
    <n v="0"/>
    <m/>
    <n v="63.6"/>
    <x v="0"/>
  </r>
  <r>
    <s v="USR-100720"/>
    <d v="2025-01-17T00:00:00"/>
    <x v="1"/>
    <s v="West"/>
    <x v="0"/>
    <s v="Email"/>
    <s v="Free"/>
    <n v="0"/>
    <n v="0"/>
    <n v="0"/>
    <n v="0"/>
    <n v="0"/>
    <x v="2"/>
    <n v="0"/>
    <m/>
    <n v="61.6"/>
    <x v="0"/>
  </r>
  <r>
    <s v="USR-100721"/>
    <d v="2025-01-22T00:00:00"/>
    <x v="1"/>
    <s v="East"/>
    <x v="1"/>
    <s v="Referral"/>
    <s v="Basic"/>
    <n v="1"/>
    <n v="1"/>
    <n v="0"/>
    <n v="0"/>
    <n v="0"/>
    <x v="0"/>
    <n v="0"/>
    <m/>
    <n v="82.3"/>
    <x v="0"/>
  </r>
  <r>
    <s v="USR-100722"/>
    <d v="2025-05-04T00:00:00"/>
    <x v="1"/>
    <s v="East"/>
    <x v="0"/>
    <s v="Paid Search"/>
    <s v="Free"/>
    <n v="1"/>
    <n v="0"/>
    <n v="0"/>
    <n v="0"/>
    <n v="0"/>
    <x v="0"/>
    <n v="0"/>
    <m/>
    <n v="79.3"/>
    <x v="0"/>
  </r>
  <r>
    <s v="USR-100723"/>
    <d v="2025-03-13T00:00:00"/>
    <x v="1"/>
    <s v="South"/>
    <x v="1"/>
    <m/>
    <s v="Free"/>
    <n v="0"/>
    <n v="0"/>
    <n v="0"/>
    <n v="0"/>
    <n v="0"/>
    <x v="0"/>
    <n v="0"/>
    <m/>
    <n v="57.7"/>
    <x v="0"/>
  </r>
  <r>
    <s v="USR-100724"/>
    <d v="2025-01-02T00:00:00"/>
    <x v="1"/>
    <s v="North"/>
    <x v="1"/>
    <s v="Organic"/>
    <s v="Basic"/>
    <n v="1"/>
    <n v="0"/>
    <n v="0"/>
    <n v="0"/>
    <n v="0"/>
    <x v="0"/>
    <n v="0"/>
    <m/>
    <n v="63.1"/>
    <x v="0"/>
  </r>
  <r>
    <s v="USR-100725"/>
    <d v="2025-01-13T00:00:00"/>
    <x v="1"/>
    <s v="East"/>
    <x v="1"/>
    <s v="Paid Search"/>
    <s v="Basic"/>
    <n v="0"/>
    <n v="0"/>
    <n v="0"/>
    <n v="0"/>
    <n v="0"/>
    <x v="0"/>
    <n v="0"/>
    <m/>
    <n v="72.3"/>
    <x v="0"/>
  </r>
  <r>
    <s v="USR-100726"/>
    <d v="2025-02-09T00:00:00"/>
    <x v="1"/>
    <s v="East"/>
    <x v="1"/>
    <s v="Social"/>
    <s v="Free"/>
    <n v="1"/>
    <n v="1"/>
    <n v="1"/>
    <n v="0"/>
    <n v="0"/>
    <x v="0"/>
    <n v="0"/>
    <m/>
    <n v="78"/>
    <x v="0"/>
  </r>
  <r>
    <s v="USR-100727"/>
    <d v="2025-04-09T00:00:00"/>
    <x v="1"/>
    <s v="East"/>
    <x v="0"/>
    <s v="Social"/>
    <s v="Free"/>
    <n v="1"/>
    <n v="1"/>
    <n v="0"/>
    <n v="0"/>
    <n v="0"/>
    <x v="2"/>
    <n v="0"/>
    <m/>
    <n v="59.1"/>
    <x v="0"/>
  </r>
  <r>
    <s v="USR-100728"/>
    <d v="2025-01-02T00:00:00"/>
    <x v="1"/>
    <s v="South"/>
    <x v="1"/>
    <s v="Paid Search"/>
    <s v="Free"/>
    <n v="1"/>
    <n v="1"/>
    <n v="1"/>
    <n v="1"/>
    <n v="604.09"/>
    <x v="0"/>
    <n v="0"/>
    <n v="7"/>
    <n v="47.1"/>
    <x v="0"/>
  </r>
  <r>
    <s v="USR-100729"/>
    <d v="2025-02-04T00:00:00"/>
    <x v="1"/>
    <s v="South"/>
    <x v="1"/>
    <m/>
    <s v="Premium"/>
    <n v="1"/>
    <n v="0"/>
    <n v="0"/>
    <n v="0"/>
    <n v="0"/>
    <x v="0"/>
    <n v="0"/>
    <m/>
    <n v="64.900000000000006"/>
    <x v="0"/>
  </r>
  <r>
    <s v="USR-100730"/>
    <d v="2025-02-19T00:00:00"/>
    <x v="1"/>
    <s v="South"/>
    <x v="2"/>
    <s v="Paid Search"/>
    <s v="Free"/>
    <n v="0"/>
    <n v="0"/>
    <n v="0"/>
    <n v="0"/>
    <n v="0"/>
    <x v="0"/>
    <n v="0"/>
    <m/>
    <n v="67.3"/>
    <x v="0"/>
  </r>
  <r>
    <s v="USR-100731"/>
    <d v="2025-04-01T00:00:00"/>
    <x v="1"/>
    <s v="East"/>
    <x v="1"/>
    <s v="Paid Search"/>
    <s v="Basic"/>
    <n v="1"/>
    <n v="0"/>
    <n v="0"/>
    <n v="0"/>
    <n v="0"/>
    <x v="2"/>
    <n v="0"/>
    <m/>
    <n v="52.9"/>
    <x v="0"/>
  </r>
  <r>
    <s v="USR-100732"/>
    <d v="2025-01-29T00:00:00"/>
    <x v="1"/>
    <s v="North"/>
    <x v="1"/>
    <s v="Referral"/>
    <s v="Free"/>
    <n v="1"/>
    <n v="1"/>
    <n v="1"/>
    <n v="1"/>
    <n v="442.37"/>
    <x v="1"/>
    <n v="0"/>
    <n v="4"/>
    <n v="69.900000000000006"/>
    <x v="0"/>
  </r>
  <r>
    <s v="USR-100733"/>
    <d v="2025-05-18T00:00:00"/>
    <x v="1"/>
    <s v="North"/>
    <x v="1"/>
    <s v="Referral"/>
    <s v="Basic"/>
    <n v="1"/>
    <n v="1"/>
    <n v="1"/>
    <n v="0"/>
    <n v="0"/>
    <x v="0"/>
    <n v="0"/>
    <m/>
    <n v="78.900000000000006"/>
    <x v="0"/>
  </r>
  <r>
    <s v="USR-100734"/>
    <d v="2025-04-15T00:00:00"/>
    <x v="1"/>
    <s v="East"/>
    <x v="0"/>
    <s v="Social"/>
    <s v="Premium"/>
    <n v="1"/>
    <n v="1"/>
    <n v="0"/>
    <n v="0"/>
    <n v="0"/>
    <x v="0"/>
    <n v="0"/>
    <m/>
    <n v="83.3"/>
    <x v="0"/>
  </r>
  <r>
    <s v="USR-100735"/>
    <d v="2025-03-28T00:00:00"/>
    <x v="1"/>
    <s v="East"/>
    <x v="0"/>
    <s v="Email"/>
    <s v="Free"/>
    <n v="1"/>
    <n v="0"/>
    <n v="0"/>
    <n v="0"/>
    <n v="0"/>
    <x v="1"/>
    <n v="0"/>
    <m/>
    <n v="24.5"/>
    <x v="0"/>
  </r>
  <r>
    <s v="USR-100736"/>
    <d v="2025-04-01T00:00:00"/>
    <x v="1"/>
    <s v="West"/>
    <x v="1"/>
    <s v="Paid Search"/>
    <s v="Basic"/>
    <n v="1"/>
    <n v="1"/>
    <n v="0"/>
    <n v="0"/>
    <n v="0"/>
    <x v="1"/>
    <n v="0"/>
    <m/>
    <n v="56.9"/>
    <x v="0"/>
  </r>
  <r>
    <s v="USR-100737"/>
    <d v="2025-02-11T00:00:00"/>
    <x v="1"/>
    <s v="West"/>
    <x v="1"/>
    <s v="Social"/>
    <s v="Basic"/>
    <n v="1"/>
    <n v="0"/>
    <n v="0"/>
    <n v="0"/>
    <n v="0"/>
    <x v="0"/>
    <n v="0"/>
    <m/>
    <n v="69.900000000000006"/>
    <x v="0"/>
  </r>
  <r>
    <s v="USR-100738"/>
    <d v="2025-03-04T00:00:00"/>
    <x v="1"/>
    <s v="South"/>
    <x v="1"/>
    <s v="Organic"/>
    <s v="Free"/>
    <n v="1"/>
    <n v="1"/>
    <n v="1"/>
    <n v="0"/>
    <n v="0"/>
    <x v="0"/>
    <n v="0"/>
    <m/>
    <n v="81.5"/>
    <x v="0"/>
  </r>
  <r>
    <s v="USR-100739"/>
    <d v="2025-01-21T00:00:00"/>
    <x v="1"/>
    <s v="North"/>
    <x v="2"/>
    <s v="Social"/>
    <s v="Basic"/>
    <n v="0"/>
    <n v="0"/>
    <n v="0"/>
    <n v="0"/>
    <n v="0"/>
    <x v="2"/>
    <n v="0"/>
    <m/>
    <n v="37.9"/>
    <x v="0"/>
  </r>
  <r>
    <s v="USR-100740"/>
    <d v="2025-02-14T00:00:00"/>
    <x v="1"/>
    <s v="North"/>
    <x v="1"/>
    <s v="Referral"/>
    <s v="Free"/>
    <n v="0"/>
    <n v="0"/>
    <n v="0"/>
    <n v="0"/>
    <n v="0"/>
    <x v="1"/>
    <n v="0"/>
    <m/>
    <n v="61.7"/>
    <x v="0"/>
  </r>
  <r>
    <s v="USR-100741"/>
    <d v="2025-03-30T00:00:00"/>
    <x v="1"/>
    <s v="North"/>
    <x v="0"/>
    <m/>
    <s v="Premium"/>
    <n v="1"/>
    <n v="0"/>
    <n v="0"/>
    <n v="0"/>
    <n v="0"/>
    <x v="2"/>
    <n v="0"/>
    <m/>
    <n v="53.2"/>
    <x v="0"/>
  </r>
  <r>
    <s v="USR-100742"/>
    <d v="2025-01-08T00:00:00"/>
    <x v="1"/>
    <s v="North"/>
    <x v="1"/>
    <s v="Referral"/>
    <s v="Free"/>
    <n v="0"/>
    <n v="0"/>
    <n v="0"/>
    <n v="0"/>
    <n v="0"/>
    <x v="0"/>
    <n v="0"/>
    <m/>
    <n v="61.9"/>
    <x v="0"/>
  </r>
  <r>
    <s v="USR-100743"/>
    <d v="2025-02-07T00:00:00"/>
    <x v="1"/>
    <s v="North"/>
    <x v="1"/>
    <s v="Social"/>
    <s v="Free"/>
    <n v="1"/>
    <n v="1"/>
    <n v="1"/>
    <n v="0"/>
    <n v="0"/>
    <x v="0"/>
    <n v="0"/>
    <m/>
    <n v="68.900000000000006"/>
    <x v="0"/>
  </r>
  <r>
    <s v="USR-100744"/>
    <d v="2025-02-01T00:00:00"/>
    <x v="1"/>
    <s v="North"/>
    <x v="2"/>
    <s v="Paid Search"/>
    <s v="Basic"/>
    <n v="0"/>
    <n v="0"/>
    <n v="0"/>
    <n v="0"/>
    <n v="0"/>
    <x v="0"/>
    <n v="0"/>
    <m/>
    <n v="66.3"/>
    <x v="0"/>
  </r>
  <r>
    <s v="USR-100745"/>
    <d v="2025-01-04T00:00:00"/>
    <x v="1"/>
    <s v="East"/>
    <x v="1"/>
    <s v="Email"/>
    <s v="Free"/>
    <n v="1"/>
    <n v="1"/>
    <n v="1"/>
    <n v="0"/>
    <n v="0"/>
    <x v="0"/>
    <n v="0"/>
    <m/>
    <n v="54.6"/>
    <x v="0"/>
  </r>
  <r>
    <s v="USR-100746"/>
    <d v="2025-05-16T00:00:00"/>
    <x v="1"/>
    <s v="South"/>
    <x v="0"/>
    <s v="Referral"/>
    <s v="Free"/>
    <n v="0"/>
    <n v="0"/>
    <n v="0"/>
    <n v="0"/>
    <n v="0"/>
    <x v="0"/>
    <n v="0"/>
    <m/>
    <n v="53.8"/>
    <x v="0"/>
  </r>
  <r>
    <s v="USR-100747"/>
    <d v="2025-02-28T00:00:00"/>
    <x v="1"/>
    <s v="West"/>
    <x v="1"/>
    <s v="Referral"/>
    <s v="Free"/>
    <n v="1"/>
    <n v="0"/>
    <n v="0"/>
    <n v="0"/>
    <n v="0"/>
    <x v="0"/>
    <n v="0"/>
    <m/>
    <n v="59.5"/>
    <x v="0"/>
  </r>
  <r>
    <s v="USR-100748"/>
    <d v="2025-04-12T00:00:00"/>
    <x v="1"/>
    <s v="North"/>
    <x v="1"/>
    <s v="Referral"/>
    <s v="Free"/>
    <n v="1"/>
    <n v="0"/>
    <n v="0"/>
    <n v="0"/>
    <n v="0"/>
    <x v="0"/>
    <n v="0"/>
    <m/>
    <n v="52.6"/>
    <x v="0"/>
  </r>
  <r>
    <s v="USR-100749"/>
    <d v="2025-03-23T00:00:00"/>
    <x v="1"/>
    <s v="South"/>
    <x v="0"/>
    <s v="Organic"/>
    <s v="Free"/>
    <n v="0"/>
    <n v="0"/>
    <n v="0"/>
    <n v="0"/>
    <n v="0"/>
    <x v="0"/>
    <n v="0"/>
    <m/>
    <n v="49"/>
    <x v="0"/>
  </r>
  <r>
    <s v="USR-100750"/>
    <d v="2025-05-29T00:00:00"/>
    <x v="1"/>
    <s v="North"/>
    <x v="2"/>
    <s v="Organic"/>
    <s v="Free"/>
    <n v="1"/>
    <n v="0"/>
    <n v="0"/>
    <n v="0"/>
    <n v="0"/>
    <x v="0"/>
    <n v="0"/>
    <m/>
    <n v="59.3"/>
    <x v="0"/>
  </r>
  <r>
    <s v="USR-100751"/>
    <d v="2025-05-21T00:00:00"/>
    <x v="1"/>
    <s v="South"/>
    <x v="0"/>
    <s v="Organic"/>
    <s v="Basic"/>
    <n v="0"/>
    <n v="0"/>
    <n v="0"/>
    <n v="0"/>
    <n v="0"/>
    <x v="0"/>
    <n v="0"/>
    <m/>
    <n v="67.2"/>
    <x v="0"/>
  </r>
  <r>
    <s v="USR-100752"/>
    <d v="2025-01-05T00:00:00"/>
    <x v="1"/>
    <s v="South"/>
    <x v="1"/>
    <s v="Referral"/>
    <s v="Premium"/>
    <n v="0"/>
    <n v="0"/>
    <n v="0"/>
    <n v="0"/>
    <n v="0"/>
    <x v="0"/>
    <n v="0"/>
    <m/>
    <n v="73.5"/>
    <x v="0"/>
  </r>
  <r>
    <s v="USR-100753"/>
    <d v="2025-03-19T00:00:00"/>
    <x v="1"/>
    <s v="East"/>
    <x v="2"/>
    <s v="Organic"/>
    <s v="Free"/>
    <n v="1"/>
    <n v="0"/>
    <n v="0"/>
    <n v="0"/>
    <n v="0"/>
    <x v="0"/>
    <n v="0"/>
    <m/>
    <n v="61.2"/>
    <x v="0"/>
  </r>
  <r>
    <s v="USR-100754"/>
    <d v="2025-04-24T00:00:00"/>
    <x v="1"/>
    <s v="East"/>
    <x v="1"/>
    <s v="Organic"/>
    <s v="Free"/>
    <n v="1"/>
    <n v="0"/>
    <n v="0"/>
    <n v="0"/>
    <n v="0"/>
    <x v="1"/>
    <n v="0"/>
    <m/>
    <n v="56.4"/>
    <x v="0"/>
  </r>
  <r>
    <s v="USR-100755"/>
    <d v="2025-03-10T00:00:00"/>
    <x v="1"/>
    <s v="North"/>
    <x v="2"/>
    <s v="Organic"/>
    <s v="Free"/>
    <n v="0"/>
    <n v="0"/>
    <n v="0"/>
    <n v="0"/>
    <n v="0"/>
    <x v="3"/>
    <n v="0"/>
    <m/>
    <n v="72.599999999999994"/>
    <x v="0"/>
  </r>
  <r>
    <s v="USR-100756"/>
    <d v="2025-02-22T00:00:00"/>
    <x v="1"/>
    <s v="South"/>
    <x v="2"/>
    <s v="Referral"/>
    <s v="Basic"/>
    <n v="1"/>
    <n v="0"/>
    <n v="0"/>
    <n v="0"/>
    <n v="0"/>
    <x v="0"/>
    <n v="0"/>
    <m/>
    <n v="61.7"/>
    <x v="0"/>
  </r>
  <r>
    <s v="USR-100757"/>
    <d v="2025-05-17T00:00:00"/>
    <x v="1"/>
    <s v="East"/>
    <x v="1"/>
    <s v="Social"/>
    <s v="Free"/>
    <n v="0"/>
    <n v="0"/>
    <n v="0"/>
    <n v="0"/>
    <n v="0"/>
    <x v="1"/>
    <n v="0"/>
    <m/>
    <n v="66.900000000000006"/>
    <x v="0"/>
  </r>
  <r>
    <s v="USR-100758"/>
    <d v="2025-05-09T00:00:00"/>
    <x v="1"/>
    <s v="East"/>
    <x v="2"/>
    <s v="Referral"/>
    <s v="Premium"/>
    <n v="1"/>
    <n v="1"/>
    <n v="1"/>
    <n v="1"/>
    <n v="1506.24"/>
    <x v="1"/>
    <n v="0"/>
    <n v="7"/>
    <n v="64.900000000000006"/>
    <x v="0"/>
  </r>
  <r>
    <s v="USR-100759"/>
    <d v="2025-04-26T00:00:00"/>
    <x v="1"/>
    <s v="East"/>
    <x v="2"/>
    <s v="Organic"/>
    <s v="Premium"/>
    <n v="1"/>
    <n v="0"/>
    <n v="0"/>
    <n v="0"/>
    <n v="0"/>
    <x v="0"/>
    <n v="0"/>
    <m/>
    <n v="57.5"/>
    <x v="0"/>
  </r>
  <r>
    <s v="USR-100760"/>
    <d v="2025-03-15T00:00:00"/>
    <x v="1"/>
    <s v="West"/>
    <x v="0"/>
    <s v="Social"/>
    <s v="Free"/>
    <n v="1"/>
    <n v="1"/>
    <n v="1"/>
    <n v="0"/>
    <n v="0"/>
    <x v="0"/>
    <n v="0"/>
    <m/>
    <n v="76.3"/>
    <x v="0"/>
  </r>
  <r>
    <s v="USR-100761"/>
    <d v="2025-04-03T00:00:00"/>
    <x v="1"/>
    <s v="North"/>
    <x v="1"/>
    <s v="Paid Search"/>
    <s v="Free"/>
    <n v="0"/>
    <n v="0"/>
    <n v="0"/>
    <n v="0"/>
    <n v="0"/>
    <x v="0"/>
    <n v="0"/>
    <m/>
    <n v="47.5"/>
    <x v="0"/>
  </r>
  <r>
    <s v="USR-100762"/>
    <d v="2025-03-26T00:00:00"/>
    <x v="1"/>
    <s v="South"/>
    <x v="1"/>
    <s v="Paid Search"/>
    <s v="Free"/>
    <n v="0"/>
    <n v="0"/>
    <n v="0"/>
    <n v="0"/>
    <n v="0"/>
    <x v="0"/>
    <n v="0"/>
    <m/>
    <m/>
    <x v="0"/>
  </r>
  <r>
    <s v="USR-100763"/>
    <d v="2025-02-05T00:00:00"/>
    <x v="1"/>
    <s v="West"/>
    <x v="0"/>
    <s v="Organic"/>
    <s v="Basic"/>
    <n v="1"/>
    <n v="1"/>
    <n v="0"/>
    <n v="0"/>
    <n v="0"/>
    <x v="2"/>
    <n v="0"/>
    <m/>
    <n v="71.599999999999994"/>
    <x v="0"/>
  </r>
  <r>
    <s v="USR-100764"/>
    <d v="2025-05-08T00:00:00"/>
    <x v="1"/>
    <s v="South"/>
    <x v="1"/>
    <s v="Social"/>
    <s v="Basic"/>
    <n v="1"/>
    <n v="1"/>
    <n v="0"/>
    <n v="0"/>
    <n v="0"/>
    <x v="0"/>
    <n v="0"/>
    <m/>
    <n v="55.8"/>
    <x v="0"/>
  </r>
  <r>
    <s v="USR-100765"/>
    <d v="2025-03-25T00:00:00"/>
    <x v="1"/>
    <s v="South"/>
    <x v="0"/>
    <s v="Organic"/>
    <s v="Basic"/>
    <n v="0"/>
    <n v="0"/>
    <n v="0"/>
    <n v="0"/>
    <n v="0"/>
    <x v="1"/>
    <n v="0"/>
    <m/>
    <n v="60.1"/>
    <x v="0"/>
  </r>
  <r>
    <s v="USR-100766"/>
    <d v="2025-01-14T00:00:00"/>
    <x v="1"/>
    <s v="West"/>
    <x v="3"/>
    <s v="Email"/>
    <s v="Basic"/>
    <n v="1"/>
    <n v="1"/>
    <n v="1"/>
    <n v="0"/>
    <n v="0"/>
    <x v="1"/>
    <n v="0"/>
    <m/>
    <n v="59.3"/>
    <x v="0"/>
  </r>
  <r>
    <s v="USR-100767"/>
    <d v="2025-03-26T00:00:00"/>
    <x v="1"/>
    <s v="North"/>
    <x v="1"/>
    <s v="Organic"/>
    <s v="Free"/>
    <n v="1"/>
    <n v="1"/>
    <n v="0"/>
    <n v="0"/>
    <n v="0"/>
    <x v="2"/>
    <n v="0"/>
    <m/>
    <n v="49.3"/>
    <x v="0"/>
  </r>
  <r>
    <s v="USR-100768"/>
    <d v="2025-01-16T00:00:00"/>
    <x v="1"/>
    <s v="East"/>
    <x v="1"/>
    <s v="Referral"/>
    <s v="Free"/>
    <n v="1"/>
    <n v="0"/>
    <n v="0"/>
    <n v="0"/>
    <n v="0"/>
    <x v="0"/>
    <n v="0"/>
    <m/>
    <n v="75"/>
    <x v="0"/>
  </r>
  <r>
    <s v="USR-100769"/>
    <d v="2025-01-04T00:00:00"/>
    <x v="1"/>
    <s v="East"/>
    <x v="1"/>
    <s v="Social"/>
    <s v="Free"/>
    <n v="1"/>
    <n v="0"/>
    <n v="0"/>
    <n v="0"/>
    <n v="0"/>
    <x v="0"/>
    <n v="0"/>
    <m/>
    <n v="70.2"/>
    <x v="0"/>
  </r>
  <r>
    <s v="USR-100770"/>
    <d v="2025-02-09T00:00:00"/>
    <x v="1"/>
    <s v="South"/>
    <x v="0"/>
    <s v="Organic"/>
    <s v="Premium"/>
    <n v="1"/>
    <n v="1"/>
    <n v="1"/>
    <n v="0"/>
    <n v="0"/>
    <x v="0"/>
    <n v="0"/>
    <m/>
    <n v="56.6"/>
    <x v="0"/>
  </r>
  <r>
    <s v="USR-100771"/>
    <d v="2025-03-05T00:00:00"/>
    <x v="1"/>
    <s v="East"/>
    <x v="0"/>
    <s v="Organic"/>
    <s v="Free"/>
    <n v="1"/>
    <n v="0"/>
    <n v="0"/>
    <n v="0"/>
    <n v="0"/>
    <x v="0"/>
    <n v="0"/>
    <m/>
    <n v="65.400000000000006"/>
    <x v="0"/>
  </r>
  <r>
    <s v="USR-100772"/>
    <d v="2025-03-10T00:00:00"/>
    <x v="1"/>
    <s v="East"/>
    <x v="1"/>
    <s v="Referral"/>
    <s v="Basic"/>
    <n v="1"/>
    <n v="0"/>
    <n v="0"/>
    <n v="0"/>
    <n v="0"/>
    <x v="0"/>
    <n v="0"/>
    <m/>
    <n v="47.6"/>
    <x v="0"/>
  </r>
  <r>
    <s v="USR-100773"/>
    <d v="2025-02-27T00:00:00"/>
    <x v="1"/>
    <s v="East"/>
    <x v="0"/>
    <s v="Paid Search"/>
    <s v="Free"/>
    <n v="1"/>
    <n v="0"/>
    <n v="0"/>
    <n v="0"/>
    <n v="0"/>
    <x v="0"/>
    <n v="0"/>
    <m/>
    <n v="56.7"/>
    <x v="0"/>
  </r>
  <r>
    <s v="USR-100774"/>
    <d v="2025-03-10T00:00:00"/>
    <x v="1"/>
    <s v="North"/>
    <x v="0"/>
    <s v="Referral"/>
    <s v="Basic"/>
    <n v="1"/>
    <n v="1"/>
    <n v="0"/>
    <n v="0"/>
    <n v="0"/>
    <x v="0"/>
    <n v="0"/>
    <m/>
    <n v="71.400000000000006"/>
    <x v="0"/>
  </r>
  <r>
    <s v="USR-100775"/>
    <d v="2025-04-23T00:00:00"/>
    <x v="1"/>
    <s v="West"/>
    <x v="1"/>
    <s v="Social"/>
    <s v="Free"/>
    <n v="0"/>
    <n v="0"/>
    <n v="0"/>
    <n v="0"/>
    <n v="0"/>
    <x v="2"/>
    <n v="0"/>
    <m/>
    <n v="60.5"/>
    <x v="0"/>
  </r>
  <r>
    <s v="USR-100776"/>
    <d v="2025-04-12T00:00:00"/>
    <x v="1"/>
    <s v="North"/>
    <x v="0"/>
    <s v="Paid Search"/>
    <s v="Free"/>
    <n v="1"/>
    <n v="0"/>
    <n v="0"/>
    <n v="0"/>
    <n v="0"/>
    <x v="0"/>
    <n v="0"/>
    <m/>
    <n v="46.7"/>
    <x v="0"/>
  </r>
  <r>
    <s v="USR-100777"/>
    <d v="2025-01-26T00:00:00"/>
    <x v="1"/>
    <s v="East"/>
    <x v="0"/>
    <s v="Referral"/>
    <s v="Free"/>
    <n v="0"/>
    <n v="0"/>
    <n v="0"/>
    <n v="0"/>
    <n v="0"/>
    <x v="0"/>
    <n v="0"/>
    <m/>
    <n v="61"/>
    <x v="0"/>
  </r>
  <r>
    <s v="USR-100778"/>
    <d v="2025-05-24T00:00:00"/>
    <x v="1"/>
    <s v="West"/>
    <x v="2"/>
    <s v="Paid Search"/>
    <s v="Free"/>
    <n v="0"/>
    <n v="0"/>
    <n v="0"/>
    <n v="0"/>
    <n v="0"/>
    <x v="0"/>
    <n v="0"/>
    <m/>
    <n v="60.9"/>
    <x v="0"/>
  </r>
  <r>
    <s v="USR-100779"/>
    <d v="2025-01-08T00:00:00"/>
    <x v="1"/>
    <s v="South"/>
    <x v="1"/>
    <s v="Organic"/>
    <s v="Free"/>
    <n v="1"/>
    <n v="0"/>
    <n v="0"/>
    <n v="0"/>
    <n v="0"/>
    <x v="0"/>
    <n v="0"/>
    <m/>
    <n v="67.099999999999994"/>
    <x v="0"/>
  </r>
  <r>
    <s v="USR-100780"/>
    <d v="2025-04-15T00:00:00"/>
    <x v="1"/>
    <s v="North"/>
    <x v="1"/>
    <s v="Referral"/>
    <s v="Free"/>
    <n v="1"/>
    <n v="1"/>
    <n v="0"/>
    <n v="0"/>
    <n v="0"/>
    <x v="0"/>
    <n v="0"/>
    <m/>
    <n v="59.6"/>
    <x v="0"/>
  </r>
  <r>
    <s v="USR-100781"/>
    <d v="2025-01-15T00:00:00"/>
    <x v="1"/>
    <s v="South"/>
    <x v="0"/>
    <s v="Paid Search"/>
    <s v="Free"/>
    <n v="1"/>
    <n v="0"/>
    <n v="0"/>
    <n v="0"/>
    <n v="0"/>
    <x v="0"/>
    <n v="0"/>
    <m/>
    <n v="83.8"/>
    <x v="0"/>
  </r>
  <r>
    <s v="USR-100782"/>
    <d v="2025-02-28T00:00:00"/>
    <x v="1"/>
    <s v="North"/>
    <x v="1"/>
    <s v="Organic"/>
    <s v="Basic"/>
    <n v="1"/>
    <n v="1"/>
    <n v="1"/>
    <n v="0"/>
    <n v="0"/>
    <x v="0"/>
    <n v="0"/>
    <m/>
    <n v="70.8"/>
    <x v="0"/>
  </r>
  <r>
    <s v="USR-100783"/>
    <d v="2025-01-01T00:00:00"/>
    <x v="1"/>
    <s v="North"/>
    <x v="2"/>
    <s v="Organic"/>
    <s v="Basic"/>
    <n v="0"/>
    <n v="0"/>
    <n v="0"/>
    <n v="0"/>
    <n v="0"/>
    <x v="0"/>
    <n v="0"/>
    <m/>
    <n v="65.900000000000006"/>
    <x v="0"/>
  </r>
  <r>
    <s v="USR-100784"/>
    <d v="2025-04-17T00:00:00"/>
    <x v="1"/>
    <s v="West"/>
    <x v="1"/>
    <s v="Referral"/>
    <s v="Free"/>
    <n v="1"/>
    <n v="0"/>
    <n v="0"/>
    <n v="0"/>
    <n v="0"/>
    <x v="0"/>
    <n v="0"/>
    <m/>
    <n v="58"/>
    <x v="0"/>
  </r>
  <r>
    <s v="USR-100785"/>
    <d v="2025-02-19T00:00:00"/>
    <x v="1"/>
    <s v="North"/>
    <x v="1"/>
    <s v="Email"/>
    <s v="Basic"/>
    <n v="1"/>
    <n v="1"/>
    <n v="0"/>
    <n v="0"/>
    <n v="0"/>
    <x v="0"/>
    <n v="0"/>
    <m/>
    <n v="80.3"/>
    <x v="0"/>
  </r>
  <r>
    <s v="USR-100786"/>
    <d v="2025-03-14T00:00:00"/>
    <x v="1"/>
    <s v="North"/>
    <x v="0"/>
    <s v="Organic"/>
    <s v="Free"/>
    <n v="1"/>
    <n v="0"/>
    <n v="0"/>
    <n v="0"/>
    <n v="0"/>
    <x v="0"/>
    <n v="0"/>
    <m/>
    <n v="55.7"/>
    <x v="0"/>
  </r>
  <r>
    <s v="USR-100787"/>
    <d v="2025-04-21T00:00:00"/>
    <x v="1"/>
    <s v="North"/>
    <x v="1"/>
    <s v="Organic"/>
    <s v="Free"/>
    <n v="1"/>
    <n v="1"/>
    <n v="0"/>
    <n v="0"/>
    <n v="0"/>
    <x v="0"/>
    <n v="0"/>
    <m/>
    <n v="84.9"/>
    <x v="0"/>
  </r>
  <r>
    <s v="USR-100788"/>
    <d v="2025-02-14T00:00:00"/>
    <x v="1"/>
    <s v="North"/>
    <x v="1"/>
    <s v="Organic"/>
    <s v="Free"/>
    <n v="1"/>
    <n v="0"/>
    <n v="0"/>
    <n v="0"/>
    <n v="0"/>
    <x v="0"/>
    <n v="0"/>
    <m/>
    <n v="63.3"/>
    <x v="0"/>
  </r>
  <r>
    <s v="USR-100789"/>
    <d v="2025-05-30T00:00:00"/>
    <x v="1"/>
    <s v="West"/>
    <x v="1"/>
    <s v="Organic"/>
    <s v="Free"/>
    <n v="0"/>
    <n v="0"/>
    <n v="0"/>
    <n v="0"/>
    <n v="0"/>
    <x v="0"/>
    <n v="0"/>
    <m/>
    <n v="53.1"/>
    <x v="0"/>
  </r>
  <r>
    <s v="USR-100790"/>
    <d v="2025-01-20T00:00:00"/>
    <x v="1"/>
    <s v="West"/>
    <x v="1"/>
    <s v="Organic"/>
    <s v="Free"/>
    <n v="0"/>
    <n v="0"/>
    <n v="0"/>
    <n v="0"/>
    <n v="0"/>
    <x v="0"/>
    <n v="0"/>
    <m/>
    <n v="66"/>
    <x v="0"/>
  </r>
  <r>
    <s v="USR-100791"/>
    <d v="2025-03-17T00:00:00"/>
    <x v="1"/>
    <s v="West"/>
    <x v="1"/>
    <s v="Social"/>
    <s v="Premium"/>
    <n v="0"/>
    <n v="0"/>
    <n v="0"/>
    <n v="0"/>
    <n v="0"/>
    <x v="0"/>
    <n v="0"/>
    <m/>
    <n v="54.7"/>
    <x v="0"/>
  </r>
  <r>
    <s v="USR-100792"/>
    <d v="2025-03-04T00:00:00"/>
    <x v="1"/>
    <s v="West"/>
    <x v="1"/>
    <s v="Social"/>
    <s v="Free"/>
    <n v="1"/>
    <n v="1"/>
    <n v="0"/>
    <n v="0"/>
    <n v="0"/>
    <x v="1"/>
    <n v="0"/>
    <m/>
    <n v="41.2"/>
    <x v="0"/>
  </r>
  <r>
    <s v="USR-100793"/>
    <d v="2025-02-22T00:00:00"/>
    <x v="1"/>
    <s v="South"/>
    <x v="1"/>
    <s v="Organic"/>
    <s v="Premium"/>
    <n v="0"/>
    <n v="0"/>
    <n v="0"/>
    <n v="0"/>
    <n v="0"/>
    <x v="0"/>
    <n v="0"/>
    <m/>
    <n v="66.7"/>
    <x v="0"/>
  </r>
  <r>
    <s v="USR-100794"/>
    <d v="2025-05-02T00:00:00"/>
    <x v="1"/>
    <s v="North"/>
    <x v="1"/>
    <s v="Paid Search"/>
    <s v="Premium"/>
    <n v="0"/>
    <n v="0"/>
    <n v="0"/>
    <n v="0"/>
    <n v="0"/>
    <x v="0"/>
    <n v="0"/>
    <m/>
    <n v="39.4"/>
    <x v="0"/>
  </r>
  <r>
    <s v="USR-100795"/>
    <d v="2025-03-13T00:00:00"/>
    <x v="1"/>
    <s v="West"/>
    <x v="0"/>
    <s v="Organic"/>
    <s v="Premium"/>
    <n v="0"/>
    <n v="0"/>
    <n v="0"/>
    <n v="0"/>
    <n v="0"/>
    <x v="3"/>
    <n v="0"/>
    <m/>
    <n v="67"/>
    <x v="0"/>
  </r>
  <r>
    <s v="USR-100796"/>
    <d v="2025-05-31T00:00:00"/>
    <x v="1"/>
    <s v="South"/>
    <x v="1"/>
    <s v="Organic"/>
    <s v="Basic"/>
    <n v="1"/>
    <n v="0"/>
    <n v="0"/>
    <n v="0"/>
    <n v="0"/>
    <x v="0"/>
    <n v="0"/>
    <m/>
    <n v="50.4"/>
    <x v="0"/>
  </r>
  <r>
    <s v="USR-100797"/>
    <d v="2025-03-07T00:00:00"/>
    <x v="1"/>
    <s v="West"/>
    <x v="0"/>
    <s v="Social"/>
    <s v="Free"/>
    <n v="1"/>
    <n v="0"/>
    <n v="0"/>
    <n v="0"/>
    <n v="0"/>
    <x v="0"/>
    <n v="0"/>
    <m/>
    <n v="53.8"/>
    <x v="0"/>
  </r>
  <r>
    <s v="USR-100798"/>
    <d v="2025-02-22T00:00:00"/>
    <x v="1"/>
    <s v="West"/>
    <x v="1"/>
    <s v="Paid Search"/>
    <s v="Basic"/>
    <n v="0"/>
    <n v="0"/>
    <n v="0"/>
    <n v="0"/>
    <n v="0"/>
    <x v="1"/>
    <n v="0"/>
    <m/>
    <n v="82.7"/>
    <x v="0"/>
  </r>
  <r>
    <s v="USR-100799"/>
    <d v="2025-01-05T00:00:00"/>
    <x v="1"/>
    <s v="West"/>
    <x v="0"/>
    <s v="Paid Search"/>
    <s v="Free"/>
    <n v="1"/>
    <n v="1"/>
    <n v="1"/>
    <n v="0"/>
    <n v="0"/>
    <x v="0"/>
    <n v="0"/>
    <m/>
    <n v="63.9"/>
    <x v="0"/>
  </r>
  <r>
    <s v="USR-100800"/>
    <d v="2025-01-21T00:00:00"/>
    <x v="1"/>
    <s v="West"/>
    <x v="1"/>
    <s v="Referral"/>
    <s v="Free"/>
    <n v="1"/>
    <n v="0"/>
    <n v="0"/>
    <n v="0"/>
    <n v="0"/>
    <x v="0"/>
    <n v="0"/>
    <m/>
    <n v="61.9"/>
    <x v="0"/>
  </r>
  <r>
    <s v="USR-100801"/>
    <d v="2025-01-25T00:00:00"/>
    <x v="1"/>
    <s v="North"/>
    <x v="0"/>
    <s v="Social"/>
    <s v="Free"/>
    <n v="1"/>
    <n v="1"/>
    <n v="1"/>
    <n v="0"/>
    <n v="0"/>
    <x v="0"/>
    <n v="0"/>
    <m/>
    <n v="75"/>
    <x v="0"/>
  </r>
  <r>
    <s v="USR-100802"/>
    <d v="2025-04-04T00:00:00"/>
    <x v="1"/>
    <s v="West"/>
    <x v="1"/>
    <s v="Paid Search"/>
    <s v="Basic"/>
    <n v="1"/>
    <n v="1"/>
    <n v="1"/>
    <n v="0"/>
    <n v="0"/>
    <x v="0"/>
    <n v="0"/>
    <m/>
    <n v="43"/>
    <x v="0"/>
  </r>
  <r>
    <s v="USR-100803"/>
    <d v="2025-03-25T00:00:00"/>
    <x v="1"/>
    <s v="North"/>
    <x v="0"/>
    <s v="Social"/>
    <s v="Premium"/>
    <n v="0"/>
    <n v="0"/>
    <n v="0"/>
    <n v="0"/>
    <n v="0"/>
    <x v="0"/>
    <n v="0"/>
    <m/>
    <n v="54.3"/>
    <x v="0"/>
  </r>
  <r>
    <s v="USR-100804"/>
    <d v="2025-03-19T00:00:00"/>
    <x v="1"/>
    <s v="West"/>
    <x v="1"/>
    <s v="Social"/>
    <s v="Free"/>
    <n v="0"/>
    <n v="0"/>
    <n v="0"/>
    <n v="0"/>
    <n v="0"/>
    <x v="2"/>
    <n v="0"/>
    <m/>
    <n v="44.3"/>
    <x v="0"/>
  </r>
  <r>
    <s v="USR-100805"/>
    <d v="2025-04-24T00:00:00"/>
    <x v="1"/>
    <s v="West"/>
    <x v="0"/>
    <s v="Organic"/>
    <s v="Free"/>
    <n v="1"/>
    <n v="1"/>
    <n v="1"/>
    <n v="1"/>
    <n v="402.88"/>
    <x v="0"/>
    <n v="0"/>
    <n v="12"/>
    <n v="76"/>
    <x v="0"/>
  </r>
  <r>
    <s v="USR-100806"/>
    <d v="2025-04-04T00:00:00"/>
    <x v="1"/>
    <s v="South"/>
    <x v="2"/>
    <s v="Organic"/>
    <s v="Free"/>
    <n v="1"/>
    <n v="0"/>
    <n v="0"/>
    <n v="0"/>
    <n v="0"/>
    <x v="2"/>
    <n v="0"/>
    <m/>
    <n v="65.3"/>
    <x v="0"/>
  </r>
  <r>
    <s v="USR-100807"/>
    <d v="2025-03-28T00:00:00"/>
    <x v="1"/>
    <s v="South"/>
    <x v="0"/>
    <s v="Paid Search"/>
    <s v="Premium"/>
    <n v="1"/>
    <n v="0"/>
    <n v="0"/>
    <n v="0"/>
    <n v="0"/>
    <x v="0"/>
    <n v="0"/>
    <m/>
    <n v="71.2"/>
    <x v="0"/>
  </r>
  <r>
    <s v="USR-100808"/>
    <d v="2025-05-15T00:00:00"/>
    <x v="1"/>
    <s v="South"/>
    <x v="2"/>
    <s v="Paid Search"/>
    <s v="Free"/>
    <n v="1"/>
    <n v="0"/>
    <n v="0"/>
    <n v="0"/>
    <n v="0"/>
    <x v="0"/>
    <n v="0"/>
    <m/>
    <n v="77.900000000000006"/>
    <x v="0"/>
  </r>
  <r>
    <s v="USR-100809"/>
    <d v="2025-03-13T00:00:00"/>
    <x v="1"/>
    <s v="West"/>
    <x v="1"/>
    <s v="Paid Search"/>
    <s v="Free"/>
    <n v="0"/>
    <n v="0"/>
    <n v="0"/>
    <n v="0"/>
    <n v="0"/>
    <x v="0"/>
    <n v="0"/>
    <m/>
    <n v="48.6"/>
    <x v="0"/>
  </r>
  <r>
    <s v="USR-100810"/>
    <d v="2025-03-26T00:00:00"/>
    <x v="1"/>
    <s v="North"/>
    <x v="1"/>
    <s v="Social"/>
    <s v="Premium"/>
    <n v="1"/>
    <n v="0"/>
    <n v="0"/>
    <n v="0"/>
    <n v="0"/>
    <x v="0"/>
    <n v="0"/>
    <m/>
    <n v="61.9"/>
    <x v="0"/>
  </r>
  <r>
    <s v="USR-100811"/>
    <d v="2025-01-09T00:00:00"/>
    <x v="1"/>
    <s v="North"/>
    <x v="1"/>
    <s v="Social"/>
    <s v="Basic"/>
    <n v="0"/>
    <n v="0"/>
    <n v="0"/>
    <n v="0"/>
    <n v="0"/>
    <x v="1"/>
    <n v="0"/>
    <m/>
    <n v="58.7"/>
    <x v="0"/>
  </r>
  <r>
    <s v="USR-100812"/>
    <d v="2025-05-06T00:00:00"/>
    <x v="1"/>
    <s v="South"/>
    <x v="0"/>
    <s v="Paid Search"/>
    <s v="Free"/>
    <n v="1"/>
    <n v="0"/>
    <n v="0"/>
    <n v="0"/>
    <n v="0"/>
    <x v="0"/>
    <n v="0"/>
    <m/>
    <n v="69.599999999999994"/>
    <x v="0"/>
  </r>
  <r>
    <s v="USR-100813"/>
    <d v="2025-02-17T00:00:00"/>
    <x v="1"/>
    <s v="South"/>
    <x v="1"/>
    <s v="Organic"/>
    <s v="Free"/>
    <n v="1"/>
    <n v="0"/>
    <n v="0"/>
    <n v="0"/>
    <n v="0"/>
    <x v="0"/>
    <n v="0"/>
    <m/>
    <n v="51.5"/>
    <x v="0"/>
  </r>
  <r>
    <s v="USR-100814"/>
    <d v="2025-04-05T00:00:00"/>
    <x v="1"/>
    <s v="East"/>
    <x v="1"/>
    <s v="Paid Search"/>
    <s v="Free"/>
    <n v="1"/>
    <n v="1"/>
    <n v="1"/>
    <n v="1"/>
    <n v="277.69"/>
    <x v="3"/>
    <n v="0"/>
    <n v="8"/>
    <n v="46"/>
    <x v="0"/>
  </r>
  <r>
    <s v="USR-100815"/>
    <d v="2025-04-13T00:00:00"/>
    <x v="1"/>
    <s v="West"/>
    <x v="2"/>
    <s v="Organic"/>
    <s v="Free"/>
    <n v="1"/>
    <n v="0"/>
    <n v="0"/>
    <n v="0"/>
    <n v="0"/>
    <x v="0"/>
    <n v="0"/>
    <m/>
    <n v="81.7"/>
    <x v="0"/>
  </r>
  <r>
    <s v="USR-100816"/>
    <d v="2025-05-20T00:00:00"/>
    <x v="1"/>
    <s v="East"/>
    <x v="0"/>
    <s v="Referral"/>
    <s v="Free"/>
    <n v="1"/>
    <n v="0"/>
    <n v="0"/>
    <n v="0"/>
    <n v="0"/>
    <x v="0"/>
    <n v="0"/>
    <m/>
    <n v="48.3"/>
    <x v="0"/>
  </r>
  <r>
    <s v="USR-100817"/>
    <d v="2025-03-31T00:00:00"/>
    <x v="1"/>
    <s v="East"/>
    <x v="1"/>
    <s v="Email"/>
    <s v="Free"/>
    <n v="1"/>
    <n v="1"/>
    <n v="0"/>
    <n v="0"/>
    <n v="0"/>
    <x v="0"/>
    <n v="0"/>
    <m/>
    <n v="85.6"/>
    <x v="0"/>
  </r>
  <r>
    <s v="USR-100818"/>
    <d v="2025-04-03T00:00:00"/>
    <x v="1"/>
    <s v="West"/>
    <x v="2"/>
    <s v="Paid Search"/>
    <s v="Basic"/>
    <n v="1"/>
    <n v="0"/>
    <n v="0"/>
    <n v="0"/>
    <n v="0"/>
    <x v="0"/>
    <n v="0"/>
    <m/>
    <n v="53.8"/>
    <x v="0"/>
  </r>
  <r>
    <s v="USR-100819"/>
    <d v="2025-02-04T00:00:00"/>
    <x v="1"/>
    <s v="South"/>
    <x v="1"/>
    <s v="Organic"/>
    <s v="Free"/>
    <n v="1"/>
    <n v="1"/>
    <n v="1"/>
    <n v="1"/>
    <n v="460.83"/>
    <x v="2"/>
    <n v="0"/>
    <n v="0"/>
    <n v="69.7"/>
    <x v="0"/>
  </r>
  <r>
    <s v="USR-100820"/>
    <d v="2025-05-19T00:00:00"/>
    <x v="1"/>
    <s v="East"/>
    <x v="1"/>
    <s v="Organic"/>
    <s v="Free"/>
    <n v="1"/>
    <n v="0"/>
    <n v="0"/>
    <n v="0"/>
    <n v="0"/>
    <x v="0"/>
    <n v="0"/>
    <m/>
    <n v="74.8"/>
    <x v="0"/>
  </r>
  <r>
    <s v="USR-100821"/>
    <d v="2025-03-08T00:00:00"/>
    <x v="1"/>
    <s v="East"/>
    <x v="0"/>
    <s v="Paid Search"/>
    <s v="Basic"/>
    <n v="0"/>
    <n v="0"/>
    <n v="0"/>
    <n v="0"/>
    <n v="0"/>
    <x v="0"/>
    <n v="0"/>
    <m/>
    <n v="87.9"/>
    <x v="0"/>
  </r>
  <r>
    <s v="USR-100822"/>
    <d v="2025-05-10T00:00:00"/>
    <x v="1"/>
    <s v="North"/>
    <x v="1"/>
    <s v="Social"/>
    <s v="Basic"/>
    <n v="1"/>
    <n v="0"/>
    <n v="0"/>
    <n v="0"/>
    <n v="0"/>
    <x v="1"/>
    <n v="0"/>
    <m/>
    <n v="49.1"/>
    <x v="0"/>
  </r>
  <r>
    <s v="USR-100823"/>
    <d v="2025-01-02T00:00:00"/>
    <x v="1"/>
    <s v="East"/>
    <x v="0"/>
    <s v="Social"/>
    <s v="Basic"/>
    <n v="1"/>
    <n v="0"/>
    <n v="0"/>
    <n v="0"/>
    <n v="0"/>
    <x v="2"/>
    <n v="0"/>
    <m/>
    <n v="73"/>
    <x v="0"/>
  </r>
  <r>
    <s v="USR-100824"/>
    <d v="2025-01-17T00:00:00"/>
    <x v="1"/>
    <s v="West"/>
    <x v="1"/>
    <s v="Organic"/>
    <s v="Basic"/>
    <n v="0"/>
    <n v="0"/>
    <n v="0"/>
    <n v="0"/>
    <n v="0"/>
    <x v="0"/>
    <n v="0"/>
    <m/>
    <n v="79.5"/>
    <x v="0"/>
  </r>
  <r>
    <s v="USR-100825"/>
    <d v="2025-05-21T00:00:00"/>
    <x v="1"/>
    <s v="West"/>
    <x v="1"/>
    <s v="Referral"/>
    <s v="Basic"/>
    <n v="1"/>
    <n v="1"/>
    <n v="1"/>
    <n v="1"/>
    <n v="782.23"/>
    <x v="1"/>
    <n v="0"/>
    <n v="6"/>
    <n v="93.2"/>
    <x v="0"/>
  </r>
  <r>
    <s v="USR-100826"/>
    <d v="2025-05-25T00:00:00"/>
    <x v="1"/>
    <s v="East"/>
    <x v="0"/>
    <s v="Referral"/>
    <s v="Free"/>
    <n v="1"/>
    <n v="0"/>
    <n v="0"/>
    <n v="0"/>
    <n v="0"/>
    <x v="3"/>
    <n v="0"/>
    <m/>
    <n v="77.5"/>
    <x v="0"/>
  </r>
  <r>
    <s v="USR-100827"/>
    <d v="2025-01-05T00:00:00"/>
    <x v="1"/>
    <s v="West"/>
    <x v="1"/>
    <s v="Email"/>
    <s v="Basic"/>
    <n v="1"/>
    <n v="0"/>
    <n v="0"/>
    <n v="0"/>
    <n v="0"/>
    <x v="0"/>
    <n v="0"/>
    <m/>
    <n v="61"/>
    <x v="0"/>
  </r>
  <r>
    <s v="USR-100828"/>
    <d v="2025-02-24T00:00:00"/>
    <x v="1"/>
    <s v="South"/>
    <x v="0"/>
    <s v="Organic"/>
    <s v="Free"/>
    <n v="1"/>
    <n v="1"/>
    <n v="0"/>
    <n v="0"/>
    <n v="0"/>
    <x v="0"/>
    <n v="0"/>
    <m/>
    <n v="64.900000000000006"/>
    <x v="0"/>
  </r>
  <r>
    <s v="USR-100829"/>
    <d v="2025-01-21T00:00:00"/>
    <x v="1"/>
    <s v="East"/>
    <x v="1"/>
    <s v="Paid Search"/>
    <s v="Basic"/>
    <n v="1"/>
    <n v="0"/>
    <n v="0"/>
    <n v="0"/>
    <n v="0"/>
    <x v="0"/>
    <n v="0"/>
    <m/>
    <n v="87.5"/>
    <x v="0"/>
  </r>
  <r>
    <s v="USR-100830"/>
    <d v="2025-04-24T00:00:00"/>
    <x v="1"/>
    <s v="North"/>
    <x v="1"/>
    <s v="Organic"/>
    <s v="Basic"/>
    <n v="1"/>
    <n v="1"/>
    <n v="1"/>
    <n v="1"/>
    <n v="1171.99"/>
    <x v="0"/>
    <n v="0"/>
    <n v="5"/>
    <n v="80.599999999999994"/>
    <x v="0"/>
  </r>
  <r>
    <s v="USR-100831"/>
    <d v="2025-01-07T00:00:00"/>
    <x v="1"/>
    <s v="West"/>
    <x v="0"/>
    <s v="Organic"/>
    <s v="Free"/>
    <n v="1"/>
    <n v="0"/>
    <n v="0"/>
    <n v="0"/>
    <n v="0"/>
    <x v="0"/>
    <n v="0"/>
    <m/>
    <n v="66.900000000000006"/>
    <x v="0"/>
  </r>
  <r>
    <s v="USR-100832"/>
    <d v="2025-05-31T00:00:00"/>
    <x v="1"/>
    <s v="South"/>
    <x v="2"/>
    <s v="Organic"/>
    <s v="Basic"/>
    <n v="1"/>
    <n v="1"/>
    <n v="1"/>
    <n v="0"/>
    <n v="0"/>
    <x v="0"/>
    <n v="0"/>
    <m/>
    <n v="58.8"/>
    <x v="0"/>
  </r>
  <r>
    <s v="USR-100833"/>
    <d v="2025-04-02T00:00:00"/>
    <x v="1"/>
    <s v="North"/>
    <x v="0"/>
    <s v="Organic"/>
    <s v="Basic"/>
    <n v="1"/>
    <n v="1"/>
    <n v="1"/>
    <n v="1"/>
    <n v="1010.4"/>
    <x v="0"/>
    <n v="0"/>
    <n v="4"/>
    <n v="42.9"/>
    <x v="0"/>
  </r>
  <r>
    <s v="USR-100834"/>
    <d v="2025-04-21T00:00:00"/>
    <x v="1"/>
    <s v="East"/>
    <x v="1"/>
    <s v="Organic"/>
    <s v="Free"/>
    <n v="1"/>
    <n v="1"/>
    <n v="1"/>
    <n v="0"/>
    <n v="0"/>
    <x v="1"/>
    <n v="0"/>
    <m/>
    <n v="60.2"/>
    <x v="0"/>
  </r>
  <r>
    <s v="USR-100835"/>
    <d v="2025-05-05T00:00:00"/>
    <x v="1"/>
    <s v="East"/>
    <x v="1"/>
    <s v="Paid Search"/>
    <s v="Basic"/>
    <n v="1"/>
    <n v="0"/>
    <n v="0"/>
    <n v="0"/>
    <n v="0"/>
    <x v="0"/>
    <n v="0"/>
    <m/>
    <n v="42.7"/>
    <x v="0"/>
  </r>
  <r>
    <s v="USR-100836"/>
    <d v="2025-01-06T00:00:00"/>
    <x v="1"/>
    <s v="North"/>
    <x v="0"/>
    <s v="Social"/>
    <s v="Free"/>
    <n v="1"/>
    <n v="1"/>
    <n v="1"/>
    <n v="1"/>
    <n v="431.27"/>
    <x v="0"/>
    <n v="0"/>
    <n v="7"/>
    <n v="60.8"/>
    <x v="0"/>
  </r>
  <r>
    <s v="USR-100837"/>
    <d v="2025-04-24T00:00:00"/>
    <x v="1"/>
    <s v="South"/>
    <x v="1"/>
    <s v="Referral"/>
    <s v="Free"/>
    <n v="1"/>
    <n v="1"/>
    <n v="1"/>
    <n v="1"/>
    <n v="428.8"/>
    <x v="0"/>
    <n v="0"/>
    <n v="9"/>
    <n v="79.3"/>
    <x v="0"/>
  </r>
  <r>
    <s v="USR-100838"/>
    <d v="2025-04-21T00:00:00"/>
    <x v="1"/>
    <s v="South"/>
    <x v="1"/>
    <s v="Organic"/>
    <s v="Basic"/>
    <n v="1"/>
    <n v="0"/>
    <n v="0"/>
    <n v="0"/>
    <n v="0"/>
    <x v="1"/>
    <n v="0"/>
    <m/>
    <n v="88.6"/>
    <x v="0"/>
  </r>
  <r>
    <s v="USR-100839"/>
    <d v="2025-02-09T00:00:00"/>
    <x v="1"/>
    <s v="West"/>
    <x v="1"/>
    <s v="Organic"/>
    <s v="Basic"/>
    <n v="1"/>
    <n v="1"/>
    <n v="1"/>
    <n v="0"/>
    <n v="0"/>
    <x v="0"/>
    <n v="0"/>
    <m/>
    <n v="63.1"/>
    <x v="0"/>
  </r>
  <r>
    <s v="USR-100840"/>
    <d v="2025-01-09T00:00:00"/>
    <x v="1"/>
    <s v="East"/>
    <x v="1"/>
    <s v="Organic"/>
    <s v="Premium"/>
    <n v="1"/>
    <n v="0"/>
    <n v="0"/>
    <n v="0"/>
    <n v="0"/>
    <x v="0"/>
    <n v="0"/>
    <m/>
    <n v="39.700000000000003"/>
    <x v="0"/>
  </r>
  <r>
    <s v="USR-100841"/>
    <d v="2025-02-16T00:00:00"/>
    <x v="1"/>
    <s v="North"/>
    <x v="1"/>
    <s v="Paid Search"/>
    <s v="Basic"/>
    <n v="0"/>
    <n v="0"/>
    <n v="0"/>
    <n v="0"/>
    <n v="0"/>
    <x v="0"/>
    <n v="0"/>
    <m/>
    <n v="67.2"/>
    <x v="0"/>
  </r>
  <r>
    <s v="USR-100842"/>
    <d v="2025-02-21T00:00:00"/>
    <x v="1"/>
    <s v="South"/>
    <x v="1"/>
    <s v="Organic"/>
    <s v="Free"/>
    <n v="1"/>
    <n v="1"/>
    <n v="1"/>
    <n v="0"/>
    <n v="0"/>
    <x v="0"/>
    <n v="0"/>
    <m/>
    <n v="62.3"/>
    <x v="0"/>
  </r>
  <r>
    <s v="USR-100843"/>
    <d v="2025-02-08T00:00:00"/>
    <x v="1"/>
    <s v="South"/>
    <x v="1"/>
    <s v="Organic"/>
    <s v="Premium"/>
    <n v="1"/>
    <n v="0"/>
    <n v="0"/>
    <n v="0"/>
    <n v="0"/>
    <x v="0"/>
    <n v="0"/>
    <m/>
    <m/>
    <x v="0"/>
  </r>
  <r>
    <s v="USR-100844"/>
    <d v="2025-01-22T00:00:00"/>
    <x v="1"/>
    <s v="South"/>
    <x v="1"/>
    <s v="Paid Search"/>
    <s v="Premium"/>
    <n v="0"/>
    <n v="0"/>
    <n v="0"/>
    <n v="0"/>
    <n v="0"/>
    <x v="0"/>
    <n v="0"/>
    <m/>
    <n v="60.7"/>
    <x v="0"/>
  </r>
  <r>
    <s v="USR-100845"/>
    <d v="2025-04-01T00:00:00"/>
    <x v="1"/>
    <s v="West"/>
    <x v="1"/>
    <s v="Organic"/>
    <s v="Basic"/>
    <n v="1"/>
    <n v="0"/>
    <n v="0"/>
    <n v="0"/>
    <n v="0"/>
    <x v="0"/>
    <n v="0"/>
    <m/>
    <n v="61.5"/>
    <x v="0"/>
  </r>
  <r>
    <s v="USR-100846"/>
    <d v="2025-01-21T00:00:00"/>
    <x v="1"/>
    <s v="North"/>
    <x v="1"/>
    <s v="Paid Search"/>
    <s v="Basic"/>
    <n v="1"/>
    <n v="0"/>
    <n v="0"/>
    <n v="0"/>
    <n v="0"/>
    <x v="0"/>
    <n v="0"/>
    <m/>
    <n v="75"/>
    <x v="0"/>
  </r>
  <r>
    <s v="USR-100847"/>
    <d v="2025-01-02T00:00:00"/>
    <x v="1"/>
    <s v="East"/>
    <x v="0"/>
    <s v="Organic"/>
    <s v="Free"/>
    <n v="1"/>
    <n v="1"/>
    <n v="0"/>
    <n v="0"/>
    <n v="0"/>
    <x v="0"/>
    <n v="0"/>
    <m/>
    <n v="51.9"/>
    <x v="0"/>
  </r>
  <r>
    <s v="USR-100848"/>
    <d v="2025-05-12T00:00:00"/>
    <x v="1"/>
    <s v="South"/>
    <x v="0"/>
    <s v="Paid Search"/>
    <s v="Free"/>
    <n v="0"/>
    <n v="0"/>
    <n v="0"/>
    <n v="0"/>
    <n v="0"/>
    <x v="0"/>
    <n v="0"/>
    <m/>
    <n v="34.5"/>
    <x v="0"/>
  </r>
  <r>
    <s v="USR-100849"/>
    <d v="2025-03-05T00:00:00"/>
    <x v="1"/>
    <s v="South"/>
    <x v="1"/>
    <s v="Social"/>
    <s v="Basic"/>
    <n v="0"/>
    <n v="0"/>
    <n v="0"/>
    <n v="0"/>
    <n v="0"/>
    <x v="0"/>
    <n v="0"/>
    <m/>
    <n v="54.5"/>
    <x v="0"/>
  </r>
  <r>
    <s v="USR-100850"/>
    <d v="2025-01-24T00:00:00"/>
    <x v="1"/>
    <s v="East"/>
    <x v="1"/>
    <s v="Organic"/>
    <s v="Free"/>
    <n v="0"/>
    <n v="0"/>
    <n v="0"/>
    <n v="0"/>
    <n v="0"/>
    <x v="0"/>
    <n v="0"/>
    <m/>
    <n v="46"/>
    <x v="0"/>
  </r>
  <r>
    <s v="USR-100851"/>
    <d v="2025-01-31T00:00:00"/>
    <x v="1"/>
    <s v="East"/>
    <x v="0"/>
    <s v="Email"/>
    <s v="Free"/>
    <n v="1"/>
    <n v="1"/>
    <n v="1"/>
    <n v="0"/>
    <n v="0"/>
    <x v="0"/>
    <n v="0"/>
    <m/>
    <n v="88.4"/>
    <x v="0"/>
  </r>
  <r>
    <s v="USR-100852"/>
    <d v="2025-01-24T00:00:00"/>
    <x v="1"/>
    <s v="North"/>
    <x v="2"/>
    <s v="Organic"/>
    <s v="Basic"/>
    <n v="1"/>
    <n v="0"/>
    <n v="0"/>
    <n v="0"/>
    <n v="0"/>
    <x v="0"/>
    <n v="0"/>
    <m/>
    <n v="69.5"/>
    <x v="0"/>
  </r>
  <r>
    <s v="USR-100853"/>
    <d v="2025-02-14T00:00:00"/>
    <x v="1"/>
    <s v="North"/>
    <x v="0"/>
    <s v="Referral"/>
    <s v="Basic"/>
    <n v="1"/>
    <n v="1"/>
    <n v="1"/>
    <n v="0"/>
    <n v="0"/>
    <x v="0"/>
    <n v="0"/>
    <m/>
    <n v="74.2"/>
    <x v="0"/>
  </r>
  <r>
    <s v="USR-100854"/>
    <d v="2025-05-27T00:00:00"/>
    <x v="1"/>
    <s v="North"/>
    <x v="1"/>
    <s v="Organic"/>
    <s v="Free"/>
    <n v="1"/>
    <n v="1"/>
    <n v="1"/>
    <n v="0"/>
    <n v="0"/>
    <x v="0"/>
    <n v="0"/>
    <m/>
    <n v="72.099999999999994"/>
    <x v="0"/>
  </r>
  <r>
    <s v="USR-100855"/>
    <d v="2025-02-28T00:00:00"/>
    <x v="1"/>
    <s v="North"/>
    <x v="1"/>
    <s v="Paid Search"/>
    <s v="Free"/>
    <n v="1"/>
    <n v="1"/>
    <n v="1"/>
    <n v="1"/>
    <n v="398.33"/>
    <x v="0"/>
    <n v="0"/>
    <n v="5"/>
    <n v="85.1"/>
    <x v="0"/>
  </r>
  <r>
    <s v="USR-100856"/>
    <d v="2025-05-27T00:00:00"/>
    <x v="1"/>
    <s v="North"/>
    <x v="1"/>
    <s v="Organic"/>
    <s v="Basic"/>
    <n v="1"/>
    <n v="1"/>
    <n v="1"/>
    <n v="0"/>
    <n v="0"/>
    <x v="0"/>
    <n v="0"/>
    <m/>
    <n v="49.5"/>
    <x v="0"/>
  </r>
  <r>
    <s v="USR-100857"/>
    <d v="2025-05-17T00:00:00"/>
    <x v="1"/>
    <s v="South"/>
    <x v="1"/>
    <s v="Paid Search"/>
    <s v="Premium"/>
    <n v="0"/>
    <n v="0"/>
    <n v="0"/>
    <n v="0"/>
    <n v="0"/>
    <x v="1"/>
    <n v="0"/>
    <m/>
    <n v="79"/>
    <x v="0"/>
  </r>
  <r>
    <s v="USR-100858"/>
    <d v="2025-01-10T00:00:00"/>
    <x v="1"/>
    <s v="West"/>
    <x v="0"/>
    <s v="Social"/>
    <s v="Free"/>
    <n v="0"/>
    <n v="0"/>
    <n v="0"/>
    <n v="0"/>
    <n v="0"/>
    <x v="0"/>
    <n v="0"/>
    <m/>
    <n v="71.8"/>
    <x v="0"/>
  </r>
  <r>
    <s v="USR-100859"/>
    <d v="2025-04-22T00:00:00"/>
    <x v="1"/>
    <s v="North"/>
    <x v="1"/>
    <s v="Email"/>
    <s v="Basic"/>
    <n v="1"/>
    <n v="1"/>
    <n v="1"/>
    <n v="1"/>
    <n v="1117.54"/>
    <x v="0"/>
    <n v="0"/>
    <n v="6"/>
    <n v="60.4"/>
    <x v="0"/>
  </r>
  <r>
    <s v="USR-100860"/>
    <d v="2025-03-02T00:00:00"/>
    <x v="1"/>
    <s v="South"/>
    <x v="0"/>
    <s v="Organic"/>
    <s v="Basic"/>
    <n v="1"/>
    <n v="0"/>
    <n v="0"/>
    <n v="0"/>
    <n v="0"/>
    <x v="2"/>
    <n v="0"/>
    <m/>
    <n v="38.299999999999997"/>
    <x v="0"/>
  </r>
  <r>
    <s v="USR-100861"/>
    <d v="2025-03-23T00:00:00"/>
    <x v="1"/>
    <s v="East"/>
    <x v="1"/>
    <s v="Paid Search"/>
    <s v="Free"/>
    <n v="1"/>
    <n v="1"/>
    <n v="1"/>
    <n v="0"/>
    <n v="0"/>
    <x v="0"/>
    <n v="0"/>
    <m/>
    <n v="79.599999999999994"/>
    <x v="0"/>
  </r>
  <r>
    <s v="USR-100862"/>
    <d v="2025-02-12T00:00:00"/>
    <x v="1"/>
    <s v="East"/>
    <x v="1"/>
    <s v="Email"/>
    <s v="Free"/>
    <n v="1"/>
    <n v="1"/>
    <n v="1"/>
    <n v="0"/>
    <n v="0"/>
    <x v="0"/>
    <n v="0"/>
    <m/>
    <n v="71.900000000000006"/>
    <x v="0"/>
  </r>
  <r>
    <s v="USR-100863"/>
    <d v="2025-05-03T00:00:00"/>
    <x v="1"/>
    <s v="South"/>
    <x v="1"/>
    <s v="Referral"/>
    <s v="Basic"/>
    <n v="1"/>
    <n v="0"/>
    <n v="0"/>
    <n v="0"/>
    <n v="0"/>
    <x v="0"/>
    <n v="0"/>
    <m/>
    <n v="54.6"/>
    <x v="0"/>
  </r>
  <r>
    <s v="USR-100864"/>
    <d v="2025-03-28T00:00:00"/>
    <x v="1"/>
    <s v="North"/>
    <x v="0"/>
    <s v="Social"/>
    <s v="Free"/>
    <n v="1"/>
    <n v="0"/>
    <n v="0"/>
    <n v="0"/>
    <n v="0"/>
    <x v="3"/>
    <n v="0"/>
    <m/>
    <n v="49.3"/>
    <x v="0"/>
  </r>
  <r>
    <s v="USR-100865"/>
    <d v="2025-03-12T00:00:00"/>
    <x v="1"/>
    <s v="North"/>
    <x v="1"/>
    <s v="Social"/>
    <s v="Basic"/>
    <n v="0"/>
    <n v="0"/>
    <n v="0"/>
    <n v="0"/>
    <n v="0"/>
    <x v="1"/>
    <n v="0"/>
    <m/>
    <n v="66.900000000000006"/>
    <x v="0"/>
  </r>
  <r>
    <s v="USR-100866"/>
    <d v="2025-04-27T00:00:00"/>
    <x v="1"/>
    <s v="East"/>
    <x v="1"/>
    <s v="Paid Search"/>
    <s v="Free"/>
    <n v="1"/>
    <n v="0"/>
    <n v="0"/>
    <n v="0"/>
    <n v="0"/>
    <x v="1"/>
    <n v="0"/>
    <m/>
    <n v="77.8"/>
    <x v="0"/>
  </r>
  <r>
    <s v="USR-100867"/>
    <d v="2025-04-02T00:00:00"/>
    <x v="1"/>
    <s v="South"/>
    <x v="1"/>
    <s v="Referral"/>
    <s v="Basic"/>
    <n v="1"/>
    <n v="0"/>
    <n v="0"/>
    <n v="0"/>
    <n v="0"/>
    <x v="0"/>
    <n v="0"/>
    <m/>
    <n v="63"/>
    <x v="0"/>
  </r>
  <r>
    <s v="USR-100868"/>
    <d v="2025-04-21T00:00:00"/>
    <x v="1"/>
    <s v="North"/>
    <x v="1"/>
    <s v="Social"/>
    <s v="Free"/>
    <n v="0"/>
    <n v="0"/>
    <n v="0"/>
    <n v="0"/>
    <n v="0"/>
    <x v="0"/>
    <n v="0"/>
    <m/>
    <n v="79.8"/>
    <x v="0"/>
  </r>
  <r>
    <s v="USR-100869"/>
    <d v="2025-01-26T00:00:00"/>
    <x v="1"/>
    <s v="West"/>
    <x v="0"/>
    <s v="Organic"/>
    <s v="Basic"/>
    <n v="0"/>
    <n v="0"/>
    <n v="0"/>
    <n v="0"/>
    <n v="0"/>
    <x v="0"/>
    <n v="0"/>
    <m/>
    <n v="69.900000000000006"/>
    <x v="0"/>
  </r>
  <r>
    <s v="USR-100870"/>
    <d v="2025-01-06T00:00:00"/>
    <x v="1"/>
    <s v="West"/>
    <x v="1"/>
    <s v="Organic"/>
    <s v="Free"/>
    <n v="0"/>
    <n v="0"/>
    <n v="0"/>
    <n v="0"/>
    <n v="0"/>
    <x v="1"/>
    <n v="0"/>
    <m/>
    <n v="66.400000000000006"/>
    <x v="0"/>
  </r>
  <r>
    <s v="USR-100871"/>
    <d v="2025-02-07T00:00:00"/>
    <x v="1"/>
    <s v="East"/>
    <x v="1"/>
    <s v="Organic"/>
    <s v="Free"/>
    <n v="1"/>
    <n v="0"/>
    <n v="0"/>
    <n v="0"/>
    <n v="0"/>
    <x v="0"/>
    <n v="0"/>
    <m/>
    <n v="27.6"/>
    <x v="0"/>
  </r>
  <r>
    <s v="USR-100872"/>
    <d v="2025-05-07T00:00:00"/>
    <x v="1"/>
    <s v="West"/>
    <x v="1"/>
    <s v="Organic"/>
    <s v="Premium"/>
    <n v="1"/>
    <n v="0"/>
    <n v="0"/>
    <n v="0"/>
    <n v="0"/>
    <x v="1"/>
    <n v="0"/>
    <m/>
    <n v="56.5"/>
    <x v="0"/>
  </r>
  <r>
    <s v="USR-100873"/>
    <d v="2025-04-22T00:00:00"/>
    <x v="1"/>
    <s v="West"/>
    <x v="3"/>
    <s v="Social"/>
    <s v="Free"/>
    <n v="1"/>
    <n v="0"/>
    <n v="0"/>
    <n v="0"/>
    <n v="0"/>
    <x v="0"/>
    <n v="0"/>
    <m/>
    <n v="67.8"/>
    <x v="0"/>
  </r>
  <r>
    <s v="USR-100874"/>
    <d v="2025-05-04T00:00:00"/>
    <x v="1"/>
    <s v="West"/>
    <x v="0"/>
    <s v="Social"/>
    <s v="Free"/>
    <n v="1"/>
    <n v="0"/>
    <n v="0"/>
    <n v="0"/>
    <n v="0"/>
    <x v="0"/>
    <n v="0"/>
    <m/>
    <n v="80"/>
    <x v="0"/>
  </r>
  <r>
    <s v="USR-100875"/>
    <d v="2025-05-16T00:00:00"/>
    <x v="1"/>
    <s v="South"/>
    <x v="1"/>
    <s v="Social"/>
    <s v="Basic"/>
    <n v="1"/>
    <n v="1"/>
    <n v="1"/>
    <n v="0"/>
    <n v="0"/>
    <x v="1"/>
    <n v="0"/>
    <m/>
    <n v="80.900000000000006"/>
    <x v="0"/>
  </r>
  <r>
    <s v="USR-100876"/>
    <d v="2025-02-11T00:00:00"/>
    <x v="1"/>
    <s v="West"/>
    <x v="1"/>
    <s v="Paid Search"/>
    <s v="Free"/>
    <n v="0"/>
    <n v="0"/>
    <n v="0"/>
    <n v="0"/>
    <n v="0"/>
    <x v="0"/>
    <n v="0"/>
    <m/>
    <n v="34.5"/>
    <x v="0"/>
  </r>
  <r>
    <s v="USR-100877"/>
    <d v="2025-05-09T00:00:00"/>
    <x v="1"/>
    <s v="East"/>
    <x v="0"/>
    <s v="Organic"/>
    <s v="Premium"/>
    <n v="1"/>
    <n v="0"/>
    <n v="0"/>
    <n v="0"/>
    <n v="0"/>
    <x v="0"/>
    <n v="0"/>
    <m/>
    <n v="73.5"/>
    <x v="0"/>
  </r>
  <r>
    <s v="USR-100878"/>
    <d v="2025-02-09T00:00:00"/>
    <x v="1"/>
    <s v="South"/>
    <x v="0"/>
    <s v="Paid Search"/>
    <s v="Free"/>
    <n v="1"/>
    <n v="1"/>
    <n v="0"/>
    <n v="0"/>
    <n v="0"/>
    <x v="0"/>
    <n v="0"/>
    <m/>
    <n v="70"/>
    <x v="0"/>
  </r>
  <r>
    <s v="USR-100879"/>
    <d v="2025-05-22T00:00:00"/>
    <x v="1"/>
    <s v="West"/>
    <x v="1"/>
    <s v="Social"/>
    <s v="Basic"/>
    <n v="0"/>
    <n v="0"/>
    <n v="0"/>
    <n v="0"/>
    <n v="0"/>
    <x v="0"/>
    <n v="0"/>
    <m/>
    <n v="86.9"/>
    <x v="0"/>
  </r>
  <r>
    <s v="USR-100880"/>
    <d v="2025-05-24T00:00:00"/>
    <x v="1"/>
    <s v="East"/>
    <x v="1"/>
    <s v="Social"/>
    <s v="Basic"/>
    <n v="0"/>
    <n v="0"/>
    <n v="0"/>
    <n v="0"/>
    <n v="0"/>
    <x v="0"/>
    <n v="0"/>
    <m/>
    <n v="66.900000000000006"/>
    <x v="0"/>
  </r>
  <r>
    <s v="USR-100881"/>
    <d v="2025-04-27T00:00:00"/>
    <x v="1"/>
    <s v="South"/>
    <x v="0"/>
    <s v="Social"/>
    <s v="Basic"/>
    <n v="1"/>
    <n v="1"/>
    <n v="1"/>
    <n v="0"/>
    <n v="0"/>
    <x v="0"/>
    <n v="0"/>
    <m/>
    <n v="58.3"/>
    <x v="0"/>
  </r>
  <r>
    <s v="USR-100882"/>
    <d v="2025-03-19T00:00:00"/>
    <x v="1"/>
    <s v="East"/>
    <x v="1"/>
    <s v="Paid Search"/>
    <s v="Free"/>
    <n v="1"/>
    <n v="0"/>
    <n v="0"/>
    <n v="0"/>
    <n v="0"/>
    <x v="0"/>
    <n v="0"/>
    <m/>
    <n v="45"/>
    <x v="0"/>
  </r>
  <r>
    <s v="USR-100883"/>
    <d v="2025-05-20T00:00:00"/>
    <x v="1"/>
    <s v="South"/>
    <x v="1"/>
    <s v="Organic"/>
    <s v="Premium"/>
    <n v="0"/>
    <n v="0"/>
    <n v="0"/>
    <n v="0"/>
    <n v="0"/>
    <x v="0"/>
    <n v="0"/>
    <m/>
    <n v="60.8"/>
    <x v="0"/>
  </r>
  <r>
    <s v="USR-100884"/>
    <d v="2025-05-10T00:00:00"/>
    <x v="1"/>
    <s v="North"/>
    <x v="1"/>
    <s v="Email"/>
    <s v="Premium"/>
    <n v="1"/>
    <n v="0"/>
    <n v="0"/>
    <n v="0"/>
    <n v="0"/>
    <x v="4"/>
    <n v="0"/>
    <m/>
    <n v="53.7"/>
    <x v="0"/>
  </r>
  <r>
    <s v="USR-100885"/>
    <d v="2025-03-29T00:00:00"/>
    <x v="1"/>
    <s v="East"/>
    <x v="1"/>
    <s v="Social"/>
    <s v="Free"/>
    <n v="1"/>
    <n v="1"/>
    <n v="1"/>
    <n v="0"/>
    <n v="0"/>
    <x v="0"/>
    <n v="0"/>
    <m/>
    <n v="48.8"/>
    <x v="0"/>
  </r>
  <r>
    <s v="USR-100886"/>
    <d v="2025-04-03T00:00:00"/>
    <x v="1"/>
    <s v="West"/>
    <x v="0"/>
    <s v="Referral"/>
    <s v="Basic"/>
    <n v="0"/>
    <n v="0"/>
    <n v="0"/>
    <n v="0"/>
    <n v="0"/>
    <x v="0"/>
    <n v="0"/>
    <m/>
    <n v="52.9"/>
    <x v="0"/>
  </r>
  <r>
    <s v="USR-100887"/>
    <d v="2025-05-30T00:00:00"/>
    <x v="1"/>
    <s v="South"/>
    <x v="1"/>
    <s v="Email"/>
    <s v="Free"/>
    <n v="1"/>
    <n v="0"/>
    <n v="0"/>
    <n v="0"/>
    <n v="0"/>
    <x v="0"/>
    <n v="0"/>
    <m/>
    <n v="42.4"/>
    <x v="0"/>
  </r>
  <r>
    <s v="USR-100888"/>
    <d v="2025-04-06T00:00:00"/>
    <x v="1"/>
    <s v="East"/>
    <x v="0"/>
    <s v="Email"/>
    <s v="Free"/>
    <n v="1"/>
    <n v="0"/>
    <n v="0"/>
    <n v="0"/>
    <n v="0"/>
    <x v="0"/>
    <n v="0"/>
    <m/>
    <n v="58.7"/>
    <x v="0"/>
  </r>
  <r>
    <s v="USR-100889"/>
    <d v="2025-03-14T00:00:00"/>
    <x v="1"/>
    <s v="North"/>
    <x v="1"/>
    <s v="Referral"/>
    <s v="Free"/>
    <n v="1"/>
    <n v="1"/>
    <n v="1"/>
    <n v="1"/>
    <n v="2064.5500000000002"/>
    <x v="0"/>
    <n v="0"/>
    <n v="1"/>
    <n v="67.8"/>
    <x v="0"/>
  </r>
  <r>
    <s v="USR-100890"/>
    <d v="2025-02-24T00:00:00"/>
    <x v="1"/>
    <s v="South"/>
    <x v="0"/>
    <s v="Paid Search"/>
    <s v="Basic"/>
    <n v="1"/>
    <n v="0"/>
    <n v="0"/>
    <n v="0"/>
    <n v="0"/>
    <x v="0"/>
    <n v="0"/>
    <m/>
    <n v="62.6"/>
    <x v="0"/>
  </r>
  <r>
    <s v="USR-100891"/>
    <d v="2025-03-04T00:00:00"/>
    <x v="1"/>
    <s v="West"/>
    <x v="1"/>
    <s v="Email"/>
    <s v="Basic"/>
    <n v="1"/>
    <n v="0"/>
    <n v="0"/>
    <n v="0"/>
    <n v="0"/>
    <x v="0"/>
    <n v="0"/>
    <m/>
    <n v="82.4"/>
    <x v="0"/>
  </r>
  <r>
    <s v="USR-100892"/>
    <d v="2025-04-02T00:00:00"/>
    <x v="1"/>
    <s v="North"/>
    <x v="1"/>
    <s v="Organic"/>
    <s v="Free"/>
    <n v="1"/>
    <n v="1"/>
    <n v="1"/>
    <n v="0"/>
    <n v="0"/>
    <x v="0"/>
    <n v="0"/>
    <m/>
    <n v="50.4"/>
    <x v="0"/>
  </r>
  <r>
    <s v="USR-100893"/>
    <d v="2025-05-11T00:00:00"/>
    <x v="1"/>
    <s v="North"/>
    <x v="1"/>
    <s v="Email"/>
    <s v="Premium"/>
    <n v="0"/>
    <n v="0"/>
    <n v="0"/>
    <n v="0"/>
    <n v="0"/>
    <x v="0"/>
    <n v="0"/>
    <m/>
    <n v="68.400000000000006"/>
    <x v="0"/>
  </r>
  <r>
    <s v="USR-100894"/>
    <d v="2025-05-10T00:00:00"/>
    <x v="1"/>
    <s v="West"/>
    <x v="2"/>
    <s v="Paid Search"/>
    <s v="Basic"/>
    <n v="1"/>
    <n v="1"/>
    <n v="1"/>
    <n v="0"/>
    <n v="0"/>
    <x v="0"/>
    <n v="0"/>
    <m/>
    <n v="58.8"/>
    <x v="0"/>
  </r>
  <r>
    <s v="USR-100895"/>
    <d v="2025-05-06T00:00:00"/>
    <x v="1"/>
    <s v="West"/>
    <x v="1"/>
    <s v="Referral"/>
    <s v="Free"/>
    <n v="1"/>
    <n v="1"/>
    <n v="0"/>
    <n v="0"/>
    <n v="0"/>
    <x v="2"/>
    <n v="0"/>
    <m/>
    <n v="28.3"/>
    <x v="0"/>
  </r>
  <r>
    <s v="USR-100896"/>
    <d v="2025-02-11T00:00:00"/>
    <x v="1"/>
    <s v="West"/>
    <x v="0"/>
    <s v="Paid Search"/>
    <s v="Free"/>
    <n v="1"/>
    <n v="1"/>
    <n v="0"/>
    <n v="0"/>
    <n v="0"/>
    <x v="0"/>
    <n v="0"/>
    <m/>
    <n v="44.1"/>
    <x v="0"/>
  </r>
  <r>
    <s v="USR-100897"/>
    <d v="2025-05-09T00:00:00"/>
    <x v="1"/>
    <s v="South"/>
    <x v="1"/>
    <s v="Paid Search"/>
    <s v="Premium"/>
    <n v="1"/>
    <n v="1"/>
    <n v="0"/>
    <n v="0"/>
    <n v="0"/>
    <x v="0"/>
    <n v="0"/>
    <m/>
    <n v="66.7"/>
    <x v="0"/>
  </r>
  <r>
    <s v="USR-100898"/>
    <d v="2025-02-02T00:00:00"/>
    <x v="1"/>
    <s v="South"/>
    <x v="1"/>
    <m/>
    <s v="Free"/>
    <n v="1"/>
    <n v="0"/>
    <n v="0"/>
    <n v="0"/>
    <n v="0"/>
    <x v="0"/>
    <n v="0"/>
    <m/>
    <n v="100"/>
    <x v="0"/>
  </r>
  <r>
    <s v="USR-100899"/>
    <d v="2025-04-03T00:00:00"/>
    <x v="1"/>
    <s v="South"/>
    <x v="1"/>
    <s v="Social"/>
    <s v="Free"/>
    <n v="1"/>
    <n v="1"/>
    <n v="0"/>
    <n v="0"/>
    <n v="0"/>
    <x v="0"/>
    <n v="0"/>
    <m/>
    <n v="87.5"/>
    <x v="0"/>
  </r>
  <r>
    <s v="USR-100900"/>
    <d v="2025-02-15T00:00:00"/>
    <x v="1"/>
    <s v="North"/>
    <x v="0"/>
    <s v="Organic"/>
    <s v="Basic"/>
    <n v="1"/>
    <n v="0"/>
    <n v="0"/>
    <n v="0"/>
    <n v="0"/>
    <x v="2"/>
    <n v="0"/>
    <m/>
    <n v="65.400000000000006"/>
    <x v="0"/>
  </r>
  <r>
    <s v="USR-100901"/>
    <d v="2025-04-18T00:00:00"/>
    <x v="1"/>
    <s v="South"/>
    <x v="0"/>
    <s v="Organic"/>
    <s v="Free"/>
    <n v="1"/>
    <n v="0"/>
    <n v="0"/>
    <n v="0"/>
    <n v="0"/>
    <x v="0"/>
    <n v="0"/>
    <m/>
    <n v="22.9"/>
    <x v="0"/>
  </r>
  <r>
    <s v="USR-100902"/>
    <d v="2025-03-14T00:00:00"/>
    <x v="1"/>
    <s v="West"/>
    <x v="0"/>
    <s v="Organic"/>
    <s v="Premium"/>
    <n v="0"/>
    <n v="0"/>
    <n v="0"/>
    <n v="0"/>
    <n v="0"/>
    <x v="0"/>
    <n v="0"/>
    <m/>
    <n v="64.599999999999994"/>
    <x v="0"/>
  </r>
  <r>
    <s v="USR-100903"/>
    <d v="2025-03-29T00:00:00"/>
    <x v="1"/>
    <s v="South"/>
    <x v="1"/>
    <s v="Referral"/>
    <s v="Free"/>
    <n v="1"/>
    <n v="0"/>
    <n v="0"/>
    <n v="0"/>
    <n v="0"/>
    <x v="2"/>
    <n v="0"/>
    <m/>
    <n v="54.4"/>
    <x v="0"/>
  </r>
  <r>
    <s v="USR-100904"/>
    <d v="2025-02-13T00:00:00"/>
    <x v="1"/>
    <s v="North"/>
    <x v="0"/>
    <s v="Organic"/>
    <s v="Free"/>
    <n v="1"/>
    <n v="1"/>
    <n v="1"/>
    <n v="0"/>
    <n v="0"/>
    <x v="0"/>
    <n v="0"/>
    <m/>
    <n v="56.8"/>
    <x v="0"/>
  </r>
  <r>
    <s v="USR-100905"/>
    <d v="2025-01-23T00:00:00"/>
    <x v="1"/>
    <s v="South"/>
    <x v="1"/>
    <s v="Paid Search"/>
    <s v="Free"/>
    <n v="1"/>
    <n v="1"/>
    <n v="1"/>
    <n v="1"/>
    <n v="341.38"/>
    <x v="0"/>
    <n v="0"/>
    <n v="2"/>
    <n v="63.6"/>
    <x v="0"/>
  </r>
  <r>
    <s v="USR-100906"/>
    <d v="2025-02-24T00:00:00"/>
    <x v="1"/>
    <s v="East"/>
    <x v="1"/>
    <s v="Social"/>
    <s v="Free"/>
    <n v="1"/>
    <n v="0"/>
    <n v="0"/>
    <n v="0"/>
    <n v="0"/>
    <x v="0"/>
    <n v="0"/>
    <m/>
    <n v="58.2"/>
    <x v="0"/>
  </r>
  <r>
    <s v="USR-100907"/>
    <d v="2025-02-28T00:00:00"/>
    <x v="1"/>
    <s v="West"/>
    <x v="1"/>
    <s v="Paid Search"/>
    <s v="Free"/>
    <n v="1"/>
    <n v="1"/>
    <n v="0"/>
    <n v="0"/>
    <n v="0"/>
    <x v="0"/>
    <n v="0"/>
    <m/>
    <n v="54.6"/>
    <x v="0"/>
  </r>
  <r>
    <s v="USR-100908"/>
    <d v="2025-01-07T00:00:00"/>
    <x v="1"/>
    <s v="West"/>
    <x v="2"/>
    <s v="Organic"/>
    <s v="Basic"/>
    <n v="1"/>
    <n v="0"/>
    <n v="0"/>
    <n v="0"/>
    <n v="0"/>
    <x v="0"/>
    <n v="0"/>
    <m/>
    <n v="81.900000000000006"/>
    <x v="0"/>
  </r>
  <r>
    <s v="USR-100909"/>
    <d v="2025-03-21T00:00:00"/>
    <x v="1"/>
    <s v="West"/>
    <x v="0"/>
    <s v="Email"/>
    <s v="Free"/>
    <n v="1"/>
    <n v="0"/>
    <n v="0"/>
    <n v="0"/>
    <n v="0"/>
    <x v="3"/>
    <n v="0"/>
    <m/>
    <n v="53.3"/>
    <x v="0"/>
  </r>
  <r>
    <s v="USR-100910"/>
    <d v="2025-02-18T00:00:00"/>
    <x v="1"/>
    <s v="North"/>
    <x v="0"/>
    <s v="Organic"/>
    <s v="Basic"/>
    <n v="0"/>
    <n v="0"/>
    <n v="0"/>
    <n v="0"/>
    <n v="0"/>
    <x v="0"/>
    <n v="0"/>
    <m/>
    <n v="54.2"/>
    <x v="0"/>
  </r>
  <r>
    <s v="USR-100911"/>
    <d v="2025-01-05T00:00:00"/>
    <x v="1"/>
    <s v="North"/>
    <x v="1"/>
    <s v="Paid Search"/>
    <s v="Free"/>
    <n v="1"/>
    <n v="1"/>
    <n v="0"/>
    <n v="0"/>
    <n v="0"/>
    <x v="0"/>
    <n v="0"/>
    <m/>
    <n v="65.599999999999994"/>
    <x v="0"/>
  </r>
  <r>
    <s v="USR-100912"/>
    <d v="2025-03-11T00:00:00"/>
    <x v="1"/>
    <s v="East"/>
    <x v="0"/>
    <s v="Organic"/>
    <s v="Basic"/>
    <n v="1"/>
    <n v="0"/>
    <n v="0"/>
    <n v="0"/>
    <n v="0"/>
    <x v="1"/>
    <n v="0"/>
    <m/>
    <n v="56.5"/>
    <x v="0"/>
  </r>
  <r>
    <s v="USR-100913"/>
    <d v="2025-01-09T00:00:00"/>
    <x v="1"/>
    <s v="North"/>
    <x v="0"/>
    <s v="Organic"/>
    <s v="Basic"/>
    <n v="1"/>
    <n v="0"/>
    <n v="0"/>
    <n v="0"/>
    <n v="0"/>
    <x v="0"/>
    <n v="0"/>
    <m/>
    <n v="59.7"/>
    <x v="0"/>
  </r>
  <r>
    <s v="USR-100914"/>
    <d v="2025-01-08T00:00:00"/>
    <x v="1"/>
    <s v="South"/>
    <x v="1"/>
    <s v="Organic"/>
    <s v="Free"/>
    <n v="1"/>
    <n v="1"/>
    <n v="1"/>
    <n v="0"/>
    <n v="0"/>
    <x v="0"/>
    <n v="0"/>
    <m/>
    <n v="72.5"/>
    <x v="0"/>
  </r>
  <r>
    <s v="USR-100915"/>
    <d v="2025-05-01T00:00:00"/>
    <x v="1"/>
    <s v="East"/>
    <x v="0"/>
    <s v="Paid Search"/>
    <s v="Free"/>
    <n v="1"/>
    <n v="0"/>
    <n v="0"/>
    <n v="0"/>
    <n v="0"/>
    <x v="0"/>
    <n v="0"/>
    <m/>
    <n v="64.3"/>
    <x v="0"/>
  </r>
  <r>
    <s v="USR-100916"/>
    <d v="2025-03-03T00:00:00"/>
    <x v="1"/>
    <s v="South"/>
    <x v="1"/>
    <s v="Social"/>
    <s v="Free"/>
    <n v="1"/>
    <n v="0"/>
    <n v="0"/>
    <n v="0"/>
    <n v="0"/>
    <x v="0"/>
    <n v="0"/>
    <m/>
    <n v="64.5"/>
    <x v="0"/>
  </r>
  <r>
    <s v="USR-100917"/>
    <d v="2025-02-23T00:00:00"/>
    <x v="1"/>
    <s v="West"/>
    <x v="0"/>
    <s v="Social"/>
    <s v="Basic"/>
    <n v="1"/>
    <n v="1"/>
    <n v="1"/>
    <n v="0"/>
    <n v="0"/>
    <x v="0"/>
    <n v="0"/>
    <m/>
    <n v="70.599999999999994"/>
    <x v="0"/>
  </r>
  <r>
    <s v="USR-100918"/>
    <d v="2025-02-17T00:00:00"/>
    <x v="1"/>
    <s v="South"/>
    <x v="0"/>
    <s v="Organic"/>
    <s v="Basic"/>
    <n v="0"/>
    <n v="0"/>
    <n v="0"/>
    <n v="0"/>
    <n v="0"/>
    <x v="0"/>
    <n v="0"/>
    <m/>
    <n v="58.4"/>
    <x v="0"/>
  </r>
  <r>
    <s v="USR-100919"/>
    <d v="2025-05-21T00:00:00"/>
    <x v="1"/>
    <s v="East"/>
    <x v="1"/>
    <s v="Organic"/>
    <s v="Basic"/>
    <n v="1"/>
    <n v="0"/>
    <n v="0"/>
    <n v="0"/>
    <n v="0"/>
    <x v="0"/>
    <n v="0"/>
    <m/>
    <n v="56.6"/>
    <x v="0"/>
  </r>
  <r>
    <s v="USR-100920"/>
    <d v="2025-01-30T00:00:00"/>
    <x v="1"/>
    <s v="South"/>
    <x v="1"/>
    <s v="Organic"/>
    <s v="Free"/>
    <n v="1"/>
    <n v="0"/>
    <n v="0"/>
    <n v="0"/>
    <n v="0"/>
    <x v="0"/>
    <n v="0"/>
    <m/>
    <n v="61.8"/>
    <x v="0"/>
  </r>
  <r>
    <s v="USR-100921"/>
    <d v="2025-03-20T00:00:00"/>
    <x v="1"/>
    <s v="West"/>
    <x v="1"/>
    <s v="Email"/>
    <s v="Free"/>
    <n v="1"/>
    <n v="1"/>
    <n v="1"/>
    <n v="1"/>
    <n v="513.52"/>
    <x v="0"/>
    <n v="0"/>
    <n v="8"/>
    <n v="43.4"/>
    <x v="0"/>
  </r>
  <r>
    <s v="USR-100922"/>
    <d v="2025-04-10T00:00:00"/>
    <x v="1"/>
    <s v="West"/>
    <x v="2"/>
    <s v="Paid Search"/>
    <s v="Free"/>
    <n v="0"/>
    <n v="0"/>
    <n v="0"/>
    <n v="0"/>
    <n v="0"/>
    <x v="0"/>
    <n v="0"/>
    <m/>
    <n v="43"/>
    <x v="0"/>
  </r>
  <r>
    <s v="USR-100923"/>
    <d v="2025-03-07T00:00:00"/>
    <x v="1"/>
    <s v="North"/>
    <x v="0"/>
    <s v="Organic"/>
    <s v="Free"/>
    <n v="1"/>
    <n v="1"/>
    <n v="1"/>
    <n v="0"/>
    <n v="0"/>
    <x v="0"/>
    <n v="0"/>
    <m/>
    <n v="51.1"/>
    <x v="0"/>
  </r>
  <r>
    <s v="USR-100924"/>
    <d v="2025-03-12T00:00:00"/>
    <x v="1"/>
    <s v="West"/>
    <x v="1"/>
    <s v="Email"/>
    <s v="Basic"/>
    <n v="1"/>
    <n v="0"/>
    <n v="0"/>
    <n v="0"/>
    <n v="0"/>
    <x v="0"/>
    <n v="0"/>
    <m/>
    <n v="48.8"/>
    <x v="0"/>
  </r>
  <r>
    <s v="USR-100925"/>
    <d v="2025-02-24T00:00:00"/>
    <x v="1"/>
    <s v="East"/>
    <x v="1"/>
    <s v="Referral"/>
    <s v="Free"/>
    <n v="0"/>
    <n v="0"/>
    <n v="0"/>
    <n v="0"/>
    <n v="0"/>
    <x v="0"/>
    <n v="0"/>
    <m/>
    <n v="73.2"/>
    <x v="0"/>
  </r>
  <r>
    <s v="USR-100926"/>
    <d v="2025-01-15T00:00:00"/>
    <x v="1"/>
    <s v="East"/>
    <x v="1"/>
    <s v="Referral"/>
    <s v="Free"/>
    <n v="1"/>
    <n v="1"/>
    <n v="1"/>
    <n v="0"/>
    <n v="0"/>
    <x v="0"/>
    <n v="0"/>
    <m/>
    <n v="80"/>
    <x v="0"/>
  </r>
  <r>
    <s v="USR-100927"/>
    <d v="2025-01-07T00:00:00"/>
    <x v="1"/>
    <s v="North"/>
    <x v="0"/>
    <s v="Paid Search"/>
    <s v="Free"/>
    <n v="1"/>
    <n v="0"/>
    <n v="0"/>
    <n v="0"/>
    <n v="0"/>
    <x v="0"/>
    <n v="0"/>
    <m/>
    <n v="52.3"/>
    <x v="0"/>
  </r>
  <r>
    <s v="USR-100928"/>
    <d v="2025-03-02T00:00:00"/>
    <x v="1"/>
    <s v="North"/>
    <x v="0"/>
    <s v="Organic"/>
    <s v="Free"/>
    <n v="0"/>
    <n v="0"/>
    <n v="0"/>
    <n v="0"/>
    <n v="0"/>
    <x v="0"/>
    <n v="0"/>
    <m/>
    <n v="49.1"/>
    <x v="0"/>
  </r>
  <r>
    <s v="USR-100929"/>
    <d v="2025-01-05T00:00:00"/>
    <x v="1"/>
    <s v="South"/>
    <x v="0"/>
    <s v="Referral"/>
    <s v="Basic"/>
    <n v="0"/>
    <n v="0"/>
    <n v="0"/>
    <n v="0"/>
    <n v="0"/>
    <x v="0"/>
    <n v="0"/>
    <m/>
    <n v="45.3"/>
    <x v="0"/>
  </r>
  <r>
    <s v="USR-100930"/>
    <d v="2025-03-03T00:00:00"/>
    <x v="1"/>
    <s v="South"/>
    <x v="1"/>
    <s v="Organic"/>
    <s v="Free"/>
    <n v="1"/>
    <n v="1"/>
    <n v="0"/>
    <n v="0"/>
    <n v="0"/>
    <x v="0"/>
    <n v="0"/>
    <m/>
    <n v="49.1"/>
    <x v="0"/>
  </r>
  <r>
    <s v="USR-100931"/>
    <d v="2025-03-31T00:00:00"/>
    <x v="1"/>
    <s v="East"/>
    <x v="0"/>
    <s v="Referral"/>
    <s v="Free"/>
    <n v="1"/>
    <n v="1"/>
    <n v="1"/>
    <n v="1"/>
    <n v="476.44"/>
    <x v="0"/>
    <n v="0"/>
    <n v="3"/>
    <n v="88.6"/>
    <x v="0"/>
  </r>
  <r>
    <s v="USR-100932"/>
    <d v="2025-01-14T00:00:00"/>
    <x v="1"/>
    <s v="East"/>
    <x v="0"/>
    <s v="Paid Search"/>
    <s v="Premium"/>
    <n v="0"/>
    <n v="0"/>
    <n v="0"/>
    <n v="0"/>
    <n v="0"/>
    <x v="1"/>
    <n v="0"/>
    <m/>
    <n v="54.4"/>
    <x v="0"/>
  </r>
  <r>
    <s v="USR-100933"/>
    <d v="2025-01-15T00:00:00"/>
    <x v="1"/>
    <s v="West"/>
    <x v="0"/>
    <s v="Paid Search"/>
    <s v="Premium"/>
    <n v="1"/>
    <n v="0"/>
    <n v="0"/>
    <n v="0"/>
    <n v="0"/>
    <x v="0"/>
    <n v="0"/>
    <m/>
    <n v="72.900000000000006"/>
    <x v="0"/>
  </r>
  <r>
    <s v="USR-100934"/>
    <d v="2025-04-25T00:00:00"/>
    <x v="1"/>
    <s v="West"/>
    <x v="0"/>
    <s v="Organic"/>
    <s v="Free"/>
    <n v="1"/>
    <n v="0"/>
    <n v="0"/>
    <n v="0"/>
    <n v="0"/>
    <x v="0"/>
    <n v="0"/>
    <m/>
    <n v="53.2"/>
    <x v="0"/>
  </r>
  <r>
    <s v="USR-100935"/>
    <d v="2025-03-21T00:00:00"/>
    <x v="1"/>
    <s v="East"/>
    <x v="1"/>
    <s v="Organic"/>
    <s v="Basic"/>
    <n v="1"/>
    <n v="1"/>
    <n v="0"/>
    <n v="0"/>
    <n v="0"/>
    <x v="0"/>
    <n v="0"/>
    <m/>
    <n v="48.7"/>
    <x v="0"/>
  </r>
  <r>
    <s v="USR-100936"/>
    <d v="2025-04-26T00:00:00"/>
    <x v="1"/>
    <s v="South"/>
    <x v="1"/>
    <s v="Paid Search"/>
    <s v="Basic"/>
    <n v="1"/>
    <n v="1"/>
    <n v="1"/>
    <n v="0"/>
    <n v="0"/>
    <x v="0"/>
    <n v="0"/>
    <m/>
    <n v="59.9"/>
    <x v="0"/>
  </r>
  <r>
    <s v="USR-100937"/>
    <d v="2025-05-21T00:00:00"/>
    <x v="1"/>
    <s v="South"/>
    <x v="0"/>
    <m/>
    <s v="Basic"/>
    <n v="0"/>
    <n v="0"/>
    <n v="0"/>
    <n v="0"/>
    <n v="0"/>
    <x v="0"/>
    <n v="0"/>
    <m/>
    <n v="82"/>
    <x v="0"/>
  </r>
  <r>
    <s v="USR-100938"/>
    <d v="2025-04-18T00:00:00"/>
    <x v="1"/>
    <s v="East"/>
    <x v="1"/>
    <s v="Paid Search"/>
    <s v="Free"/>
    <n v="0"/>
    <n v="0"/>
    <n v="0"/>
    <n v="0"/>
    <n v="0"/>
    <x v="0"/>
    <n v="0"/>
    <m/>
    <n v="72.099999999999994"/>
    <x v="0"/>
  </r>
  <r>
    <s v="USR-100939"/>
    <d v="2025-01-29T00:00:00"/>
    <x v="1"/>
    <s v="North"/>
    <x v="0"/>
    <s v="Email"/>
    <s v="Premium"/>
    <n v="1"/>
    <n v="1"/>
    <n v="0"/>
    <n v="0"/>
    <n v="0"/>
    <x v="0"/>
    <n v="0"/>
    <m/>
    <n v="68.3"/>
    <x v="0"/>
  </r>
  <r>
    <s v="USR-100940"/>
    <d v="2025-05-28T00:00:00"/>
    <x v="1"/>
    <s v="West"/>
    <x v="1"/>
    <s v="Organic"/>
    <s v="Premium"/>
    <n v="0"/>
    <n v="0"/>
    <n v="0"/>
    <n v="0"/>
    <n v="0"/>
    <x v="0"/>
    <n v="0"/>
    <m/>
    <n v="100"/>
    <x v="0"/>
  </r>
  <r>
    <s v="USR-100941"/>
    <d v="2025-01-15T00:00:00"/>
    <x v="1"/>
    <s v="East"/>
    <x v="1"/>
    <s v="Email"/>
    <s v="Free"/>
    <n v="1"/>
    <n v="1"/>
    <n v="1"/>
    <n v="0"/>
    <n v="0"/>
    <x v="2"/>
    <n v="0"/>
    <m/>
    <n v="76.5"/>
    <x v="0"/>
  </r>
  <r>
    <s v="USR-100942"/>
    <d v="2025-01-03T00:00:00"/>
    <x v="1"/>
    <s v="South"/>
    <x v="1"/>
    <s v="Organic"/>
    <s v="Basic"/>
    <n v="1"/>
    <n v="1"/>
    <n v="0"/>
    <n v="0"/>
    <n v="0"/>
    <x v="0"/>
    <n v="0"/>
    <m/>
    <n v="62"/>
    <x v="0"/>
  </r>
  <r>
    <s v="USR-100943"/>
    <d v="2025-02-04T00:00:00"/>
    <x v="1"/>
    <s v="South"/>
    <x v="1"/>
    <s v="Paid Search"/>
    <s v="Free"/>
    <n v="1"/>
    <n v="1"/>
    <n v="1"/>
    <n v="1"/>
    <n v="324.68"/>
    <x v="1"/>
    <n v="0"/>
    <n v="7"/>
    <n v="50.1"/>
    <x v="0"/>
  </r>
  <r>
    <s v="USR-100944"/>
    <d v="2025-02-22T00:00:00"/>
    <x v="1"/>
    <s v="South"/>
    <x v="1"/>
    <s v="Referral"/>
    <s v="Premium"/>
    <n v="1"/>
    <n v="0"/>
    <n v="0"/>
    <n v="0"/>
    <n v="0"/>
    <x v="0"/>
    <n v="0"/>
    <m/>
    <n v="62.1"/>
    <x v="0"/>
  </r>
  <r>
    <s v="USR-100945"/>
    <d v="2025-05-06T00:00:00"/>
    <x v="1"/>
    <s v="West"/>
    <x v="1"/>
    <s v="Organic"/>
    <s v="Basic"/>
    <n v="1"/>
    <n v="0"/>
    <n v="0"/>
    <n v="0"/>
    <n v="0"/>
    <x v="0"/>
    <n v="0"/>
    <m/>
    <n v="49.7"/>
    <x v="0"/>
  </r>
  <r>
    <s v="USR-100946"/>
    <d v="2025-01-31T00:00:00"/>
    <x v="1"/>
    <s v="South"/>
    <x v="1"/>
    <s v="Organic"/>
    <s v="Free"/>
    <n v="1"/>
    <n v="0"/>
    <n v="0"/>
    <n v="0"/>
    <n v="0"/>
    <x v="3"/>
    <n v="0"/>
    <m/>
    <n v="71.099999999999994"/>
    <x v="0"/>
  </r>
  <r>
    <s v="USR-100947"/>
    <d v="2025-02-18T00:00:00"/>
    <x v="1"/>
    <s v="North"/>
    <x v="1"/>
    <s v="Social"/>
    <s v="Basic"/>
    <n v="0"/>
    <n v="0"/>
    <n v="0"/>
    <n v="0"/>
    <n v="0"/>
    <x v="0"/>
    <n v="0"/>
    <m/>
    <n v="70.8"/>
    <x v="0"/>
  </r>
  <r>
    <s v="USR-100948"/>
    <d v="2025-04-23T00:00:00"/>
    <x v="1"/>
    <s v="East"/>
    <x v="1"/>
    <s v="Paid Search"/>
    <s v="Free"/>
    <n v="1"/>
    <n v="1"/>
    <n v="1"/>
    <n v="1"/>
    <n v="301.98"/>
    <x v="0"/>
    <n v="0"/>
    <n v="10"/>
    <n v="52.2"/>
    <x v="0"/>
  </r>
  <r>
    <s v="USR-100949"/>
    <d v="2025-02-06T00:00:00"/>
    <x v="1"/>
    <s v="North"/>
    <x v="1"/>
    <s v="Organic"/>
    <s v="Free"/>
    <n v="1"/>
    <n v="1"/>
    <n v="1"/>
    <n v="0"/>
    <n v="0"/>
    <x v="0"/>
    <n v="0"/>
    <m/>
    <n v="73"/>
    <x v="0"/>
  </r>
  <r>
    <s v="USR-100950"/>
    <d v="2025-04-26T00:00:00"/>
    <x v="1"/>
    <s v="South"/>
    <x v="0"/>
    <s v="Paid Search"/>
    <s v="Free"/>
    <n v="0"/>
    <n v="0"/>
    <n v="0"/>
    <n v="0"/>
    <n v="0"/>
    <x v="0"/>
    <n v="0"/>
    <m/>
    <n v="78.2"/>
    <x v="0"/>
  </r>
  <r>
    <s v="USR-100951"/>
    <d v="2025-03-30T00:00:00"/>
    <x v="1"/>
    <s v="West"/>
    <x v="0"/>
    <s v="Paid Search"/>
    <s v="Basic"/>
    <n v="1"/>
    <n v="0"/>
    <n v="0"/>
    <n v="0"/>
    <n v="0"/>
    <x v="0"/>
    <n v="0"/>
    <m/>
    <n v="68.8"/>
    <x v="0"/>
  </r>
  <r>
    <s v="USR-100952"/>
    <d v="2025-04-13T00:00:00"/>
    <x v="1"/>
    <s v="West"/>
    <x v="1"/>
    <m/>
    <s v="Premium"/>
    <n v="1"/>
    <n v="0"/>
    <n v="0"/>
    <n v="0"/>
    <n v="0"/>
    <x v="0"/>
    <n v="0"/>
    <m/>
    <n v="57.1"/>
    <x v="0"/>
  </r>
  <r>
    <s v="USR-100953"/>
    <d v="2025-04-04T00:00:00"/>
    <x v="1"/>
    <s v="East"/>
    <x v="0"/>
    <s v="Organic"/>
    <s v="Premium"/>
    <n v="0"/>
    <n v="0"/>
    <n v="0"/>
    <n v="0"/>
    <n v="0"/>
    <x v="1"/>
    <n v="0"/>
    <m/>
    <n v="74.599999999999994"/>
    <x v="0"/>
  </r>
  <r>
    <s v="USR-100954"/>
    <d v="2025-04-03T00:00:00"/>
    <x v="1"/>
    <s v="North"/>
    <x v="0"/>
    <s v="Referral"/>
    <s v="Free"/>
    <n v="1"/>
    <n v="0"/>
    <n v="0"/>
    <n v="0"/>
    <n v="0"/>
    <x v="1"/>
    <n v="0"/>
    <m/>
    <n v="64.099999999999994"/>
    <x v="0"/>
  </r>
  <r>
    <s v="USR-100955"/>
    <d v="2025-03-14T00:00:00"/>
    <x v="1"/>
    <s v="West"/>
    <x v="1"/>
    <s v="Paid Search"/>
    <s v="Premium"/>
    <n v="1"/>
    <n v="0"/>
    <n v="0"/>
    <n v="0"/>
    <n v="0"/>
    <x v="0"/>
    <n v="0"/>
    <m/>
    <n v="67.3"/>
    <x v="0"/>
  </r>
  <r>
    <s v="USR-100956"/>
    <d v="2025-01-14T00:00:00"/>
    <x v="1"/>
    <s v="West"/>
    <x v="1"/>
    <s v="Referral"/>
    <s v="Free"/>
    <n v="0"/>
    <n v="0"/>
    <n v="0"/>
    <n v="0"/>
    <n v="0"/>
    <x v="2"/>
    <n v="0"/>
    <m/>
    <n v="41"/>
    <x v="0"/>
  </r>
  <r>
    <s v="USR-100957"/>
    <d v="2025-05-05T00:00:00"/>
    <x v="1"/>
    <s v="West"/>
    <x v="1"/>
    <s v="Paid Search"/>
    <s v="Free"/>
    <n v="0"/>
    <n v="0"/>
    <n v="0"/>
    <n v="0"/>
    <n v="0"/>
    <x v="0"/>
    <n v="0"/>
    <m/>
    <n v="48.1"/>
    <x v="0"/>
  </r>
  <r>
    <s v="USR-100958"/>
    <d v="2025-05-02T00:00:00"/>
    <x v="1"/>
    <s v="West"/>
    <x v="0"/>
    <s v="Social"/>
    <s v="Free"/>
    <n v="0"/>
    <n v="0"/>
    <n v="0"/>
    <n v="0"/>
    <n v="0"/>
    <x v="1"/>
    <n v="0"/>
    <m/>
    <n v="60.8"/>
    <x v="0"/>
  </r>
  <r>
    <s v="USR-100959"/>
    <d v="2025-05-21T00:00:00"/>
    <x v="1"/>
    <s v="East"/>
    <x v="1"/>
    <s v="Organic"/>
    <s v="Free"/>
    <n v="1"/>
    <n v="0"/>
    <n v="0"/>
    <n v="0"/>
    <n v="0"/>
    <x v="0"/>
    <n v="0"/>
    <m/>
    <n v="63.1"/>
    <x v="0"/>
  </r>
  <r>
    <s v="USR-100960"/>
    <d v="2025-05-16T00:00:00"/>
    <x v="1"/>
    <s v="North"/>
    <x v="1"/>
    <s v="Referral"/>
    <s v="Premium"/>
    <n v="1"/>
    <n v="0"/>
    <n v="0"/>
    <n v="0"/>
    <n v="0"/>
    <x v="2"/>
    <n v="0"/>
    <m/>
    <n v="49.7"/>
    <x v="0"/>
  </r>
  <r>
    <s v="USR-100961"/>
    <d v="2025-05-24T00:00:00"/>
    <x v="1"/>
    <s v="East"/>
    <x v="0"/>
    <s v="Organic"/>
    <s v="Premium"/>
    <n v="1"/>
    <n v="1"/>
    <n v="1"/>
    <n v="0"/>
    <n v="0"/>
    <x v="1"/>
    <n v="0"/>
    <m/>
    <n v="83.4"/>
    <x v="0"/>
  </r>
  <r>
    <s v="USR-100962"/>
    <d v="2025-03-18T00:00:00"/>
    <x v="1"/>
    <s v="East"/>
    <x v="1"/>
    <s v="Organic"/>
    <s v="Basic"/>
    <n v="1"/>
    <n v="0"/>
    <n v="0"/>
    <n v="0"/>
    <n v="0"/>
    <x v="0"/>
    <n v="0"/>
    <m/>
    <n v="75.900000000000006"/>
    <x v="0"/>
  </r>
  <r>
    <s v="USR-100963"/>
    <d v="2025-01-11T00:00:00"/>
    <x v="1"/>
    <s v="East"/>
    <x v="0"/>
    <s v="Paid Search"/>
    <s v="Free"/>
    <n v="0"/>
    <n v="0"/>
    <n v="0"/>
    <n v="0"/>
    <n v="0"/>
    <x v="1"/>
    <n v="0"/>
    <m/>
    <n v="71.8"/>
    <x v="0"/>
  </r>
  <r>
    <s v="USR-100964"/>
    <d v="2025-02-09T00:00:00"/>
    <x v="1"/>
    <s v="South"/>
    <x v="1"/>
    <s v="Organic"/>
    <s v="Basic"/>
    <n v="0"/>
    <n v="0"/>
    <n v="0"/>
    <n v="0"/>
    <n v="0"/>
    <x v="0"/>
    <n v="0"/>
    <m/>
    <n v="37.9"/>
    <x v="0"/>
  </r>
  <r>
    <s v="USR-100965"/>
    <d v="2025-03-01T00:00:00"/>
    <x v="1"/>
    <s v="North"/>
    <x v="0"/>
    <s v="Social"/>
    <s v="Free"/>
    <n v="1"/>
    <n v="0"/>
    <n v="0"/>
    <n v="0"/>
    <n v="0"/>
    <x v="0"/>
    <n v="0"/>
    <m/>
    <n v="59.8"/>
    <x v="0"/>
  </r>
  <r>
    <s v="USR-100966"/>
    <d v="2025-05-07T00:00:00"/>
    <x v="1"/>
    <s v="North"/>
    <x v="1"/>
    <s v="Organic"/>
    <s v="Basic"/>
    <n v="0"/>
    <n v="0"/>
    <n v="0"/>
    <n v="0"/>
    <n v="0"/>
    <x v="0"/>
    <n v="0"/>
    <m/>
    <n v="66.900000000000006"/>
    <x v="0"/>
  </r>
  <r>
    <s v="USR-100967"/>
    <d v="2025-02-19T00:00:00"/>
    <x v="1"/>
    <s v="South"/>
    <x v="0"/>
    <m/>
    <s v="Free"/>
    <n v="1"/>
    <n v="0"/>
    <n v="0"/>
    <n v="0"/>
    <n v="0"/>
    <x v="0"/>
    <n v="0"/>
    <m/>
    <n v="59"/>
    <x v="0"/>
  </r>
  <r>
    <s v="USR-100968"/>
    <d v="2025-02-26T00:00:00"/>
    <x v="1"/>
    <s v="West"/>
    <x v="1"/>
    <s v="Organic"/>
    <s v="Premium"/>
    <n v="1"/>
    <n v="0"/>
    <n v="0"/>
    <n v="0"/>
    <n v="0"/>
    <x v="0"/>
    <n v="0"/>
    <m/>
    <n v="80.099999999999994"/>
    <x v="0"/>
  </r>
  <r>
    <s v="USR-100969"/>
    <d v="2025-03-23T00:00:00"/>
    <x v="1"/>
    <s v="South"/>
    <x v="1"/>
    <s v="Social"/>
    <s v="Free"/>
    <n v="0"/>
    <n v="0"/>
    <n v="0"/>
    <n v="0"/>
    <n v="0"/>
    <x v="0"/>
    <n v="0"/>
    <m/>
    <n v="64.3"/>
    <x v="0"/>
  </r>
  <r>
    <s v="USR-100970"/>
    <d v="2025-04-25T00:00:00"/>
    <x v="1"/>
    <s v="South"/>
    <x v="0"/>
    <s v="Social"/>
    <s v="Free"/>
    <n v="0"/>
    <n v="0"/>
    <n v="0"/>
    <n v="0"/>
    <n v="0"/>
    <x v="1"/>
    <n v="0"/>
    <m/>
    <n v="57.4"/>
    <x v="0"/>
  </r>
  <r>
    <s v="USR-100971"/>
    <d v="2025-05-10T00:00:00"/>
    <x v="1"/>
    <s v="North"/>
    <x v="0"/>
    <s v="Social"/>
    <s v="Free"/>
    <n v="1"/>
    <n v="1"/>
    <n v="1"/>
    <n v="0"/>
    <n v="0"/>
    <x v="0"/>
    <n v="0"/>
    <m/>
    <n v="83.6"/>
    <x v="0"/>
  </r>
  <r>
    <s v="USR-100972"/>
    <d v="2025-04-22T00:00:00"/>
    <x v="1"/>
    <s v="East"/>
    <x v="1"/>
    <s v="Paid Search"/>
    <s v="Premium"/>
    <n v="0"/>
    <n v="0"/>
    <n v="0"/>
    <n v="0"/>
    <n v="0"/>
    <x v="0"/>
    <n v="0"/>
    <m/>
    <n v="45.8"/>
    <x v="0"/>
  </r>
  <r>
    <s v="USR-100973"/>
    <d v="2025-02-18T00:00:00"/>
    <x v="1"/>
    <s v="West"/>
    <x v="1"/>
    <s v="Referral"/>
    <s v="Basic"/>
    <n v="1"/>
    <n v="1"/>
    <n v="1"/>
    <n v="0"/>
    <n v="0"/>
    <x v="0"/>
    <n v="0"/>
    <m/>
    <n v="64.3"/>
    <x v="0"/>
  </r>
  <r>
    <s v="USR-100974"/>
    <d v="2025-01-26T00:00:00"/>
    <x v="1"/>
    <s v="South"/>
    <x v="1"/>
    <s v="Paid Search"/>
    <s v="Premium"/>
    <n v="1"/>
    <n v="1"/>
    <n v="1"/>
    <n v="0"/>
    <n v="0"/>
    <x v="0"/>
    <n v="0"/>
    <m/>
    <n v="80.5"/>
    <x v="0"/>
  </r>
  <r>
    <s v="USR-100975"/>
    <d v="2025-04-28T00:00:00"/>
    <x v="1"/>
    <s v="North"/>
    <x v="1"/>
    <s v="Organic"/>
    <s v="Free"/>
    <n v="1"/>
    <n v="0"/>
    <n v="0"/>
    <n v="0"/>
    <n v="0"/>
    <x v="0"/>
    <n v="0"/>
    <m/>
    <n v="46.3"/>
    <x v="0"/>
  </r>
  <r>
    <s v="USR-100976"/>
    <d v="2025-04-02T00:00:00"/>
    <x v="1"/>
    <s v="South"/>
    <x v="0"/>
    <s v="Email"/>
    <s v="Basic"/>
    <n v="1"/>
    <n v="0"/>
    <n v="0"/>
    <n v="0"/>
    <n v="0"/>
    <x v="0"/>
    <n v="0"/>
    <m/>
    <n v="71.599999999999994"/>
    <x v="0"/>
  </r>
  <r>
    <s v="USR-100977"/>
    <d v="2025-04-12T00:00:00"/>
    <x v="1"/>
    <s v="South"/>
    <x v="0"/>
    <s v="Email"/>
    <s v="Premium"/>
    <n v="1"/>
    <n v="1"/>
    <n v="0"/>
    <n v="0"/>
    <n v="0"/>
    <x v="0"/>
    <n v="0"/>
    <m/>
    <n v="57.8"/>
    <x v="0"/>
  </r>
  <r>
    <s v="USR-100978"/>
    <d v="2025-01-03T00:00:00"/>
    <x v="1"/>
    <s v="West"/>
    <x v="0"/>
    <s v="Email"/>
    <s v="Basic"/>
    <n v="1"/>
    <n v="1"/>
    <n v="1"/>
    <n v="0"/>
    <n v="0"/>
    <x v="1"/>
    <n v="0"/>
    <m/>
    <n v="57.8"/>
    <x v="0"/>
  </r>
  <r>
    <s v="USR-100979"/>
    <d v="2025-05-08T00:00:00"/>
    <x v="1"/>
    <s v="North"/>
    <x v="1"/>
    <s v="Paid Search"/>
    <s v="Free"/>
    <n v="1"/>
    <n v="0"/>
    <n v="0"/>
    <n v="0"/>
    <n v="0"/>
    <x v="0"/>
    <n v="0"/>
    <m/>
    <n v="38.299999999999997"/>
    <x v="0"/>
  </r>
  <r>
    <s v="USR-100980"/>
    <d v="2025-02-20T00:00:00"/>
    <x v="1"/>
    <s v="North"/>
    <x v="1"/>
    <s v="Referral"/>
    <s v="Premium"/>
    <n v="1"/>
    <n v="0"/>
    <n v="0"/>
    <n v="0"/>
    <n v="0"/>
    <x v="1"/>
    <n v="0"/>
    <m/>
    <n v="66.099999999999994"/>
    <x v="0"/>
  </r>
  <r>
    <s v="USR-100981"/>
    <d v="2025-03-17T00:00:00"/>
    <x v="1"/>
    <s v="North"/>
    <x v="0"/>
    <s v="Paid Search"/>
    <s v="Premium"/>
    <n v="1"/>
    <n v="0"/>
    <n v="0"/>
    <n v="0"/>
    <n v="0"/>
    <x v="0"/>
    <n v="0"/>
    <m/>
    <n v="66.5"/>
    <x v="0"/>
  </r>
  <r>
    <s v="USR-100982"/>
    <d v="2025-04-10T00:00:00"/>
    <x v="1"/>
    <s v="South"/>
    <x v="0"/>
    <s v="Email"/>
    <s v="Free"/>
    <n v="1"/>
    <n v="0"/>
    <n v="0"/>
    <n v="0"/>
    <n v="0"/>
    <x v="3"/>
    <n v="0"/>
    <m/>
    <n v="51.5"/>
    <x v="0"/>
  </r>
  <r>
    <s v="USR-100983"/>
    <d v="2025-05-08T00:00:00"/>
    <x v="1"/>
    <s v="North"/>
    <x v="0"/>
    <s v="Referral"/>
    <s v="Free"/>
    <n v="1"/>
    <n v="0"/>
    <n v="0"/>
    <n v="0"/>
    <n v="0"/>
    <x v="0"/>
    <n v="0"/>
    <m/>
    <n v="59.9"/>
    <x v="0"/>
  </r>
  <r>
    <s v="USR-100984"/>
    <d v="2025-04-19T00:00:00"/>
    <x v="1"/>
    <s v="West"/>
    <x v="1"/>
    <s v="Paid Search"/>
    <s v="Basic"/>
    <n v="1"/>
    <n v="0"/>
    <n v="0"/>
    <n v="0"/>
    <n v="0"/>
    <x v="0"/>
    <n v="0"/>
    <m/>
    <n v="58.8"/>
    <x v="0"/>
  </r>
  <r>
    <s v="USR-100985"/>
    <d v="2025-01-01T00:00:00"/>
    <x v="1"/>
    <s v="South"/>
    <x v="2"/>
    <s v="Paid Search"/>
    <s v="Basic"/>
    <n v="1"/>
    <n v="0"/>
    <n v="0"/>
    <n v="0"/>
    <n v="0"/>
    <x v="0"/>
    <n v="0"/>
    <m/>
    <n v="69.599999999999994"/>
    <x v="0"/>
  </r>
  <r>
    <s v="USR-100986"/>
    <d v="2025-03-10T00:00:00"/>
    <x v="1"/>
    <s v="East"/>
    <x v="1"/>
    <s v="Paid Search"/>
    <s v="Free"/>
    <n v="1"/>
    <n v="0"/>
    <n v="0"/>
    <n v="0"/>
    <n v="0"/>
    <x v="0"/>
    <n v="0"/>
    <m/>
    <n v="77.5"/>
    <x v="0"/>
  </r>
  <r>
    <s v="USR-100987"/>
    <d v="2025-03-10T00:00:00"/>
    <x v="1"/>
    <s v="East"/>
    <x v="2"/>
    <s v="Social"/>
    <s v="Premium"/>
    <n v="0"/>
    <n v="0"/>
    <n v="0"/>
    <n v="0"/>
    <n v="0"/>
    <x v="2"/>
    <n v="0"/>
    <m/>
    <n v="57.5"/>
    <x v="0"/>
  </r>
  <r>
    <s v="USR-100988"/>
    <d v="2025-04-19T00:00:00"/>
    <x v="1"/>
    <s v="West"/>
    <x v="2"/>
    <s v="Email"/>
    <s v="Basic"/>
    <n v="1"/>
    <n v="0"/>
    <n v="0"/>
    <n v="0"/>
    <n v="0"/>
    <x v="0"/>
    <n v="0"/>
    <m/>
    <n v="64.2"/>
    <x v="0"/>
  </r>
  <r>
    <s v="USR-100989"/>
    <d v="2025-04-11T00:00:00"/>
    <x v="1"/>
    <s v="West"/>
    <x v="0"/>
    <s v="Organic"/>
    <s v="Free"/>
    <n v="0"/>
    <n v="0"/>
    <n v="0"/>
    <n v="0"/>
    <n v="0"/>
    <x v="0"/>
    <n v="0"/>
    <m/>
    <n v="60"/>
    <x v="0"/>
  </r>
  <r>
    <s v="USR-100990"/>
    <d v="2025-04-10T00:00:00"/>
    <x v="1"/>
    <s v="East"/>
    <x v="1"/>
    <s v="Organic"/>
    <s v="Basic"/>
    <n v="1"/>
    <n v="0"/>
    <n v="0"/>
    <n v="0"/>
    <n v="0"/>
    <x v="1"/>
    <n v="0"/>
    <m/>
    <n v="43.7"/>
    <x v="0"/>
  </r>
  <r>
    <s v="USR-100991"/>
    <d v="2025-01-13T00:00:00"/>
    <x v="1"/>
    <s v="West"/>
    <x v="0"/>
    <s v="Social"/>
    <s v="Free"/>
    <n v="1"/>
    <n v="0"/>
    <n v="0"/>
    <n v="0"/>
    <n v="0"/>
    <x v="0"/>
    <n v="0"/>
    <m/>
    <n v="64.900000000000006"/>
    <x v="0"/>
  </r>
  <r>
    <s v="USR-100992"/>
    <d v="2025-03-28T00:00:00"/>
    <x v="1"/>
    <s v="South"/>
    <x v="0"/>
    <s v="Organic"/>
    <s v="Free"/>
    <n v="1"/>
    <n v="1"/>
    <n v="0"/>
    <n v="0"/>
    <n v="0"/>
    <x v="0"/>
    <n v="0"/>
    <m/>
    <n v="45.5"/>
    <x v="0"/>
  </r>
  <r>
    <s v="USR-100993"/>
    <d v="2025-01-29T00:00:00"/>
    <x v="1"/>
    <s v="East"/>
    <x v="1"/>
    <s v="Paid Search"/>
    <s v="Free"/>
    <n v="1"/>
    <n v="1"/>
    <n v="1"/>
    <n v="1"/>
    <n v="1772.97"/>
    <x v="0"/>
    <n v="0"/>
    <n v="8"/>
    <n v="61.2"/>
    <x v="0"/>
  </r>
  <r>
    <s v="USR-100994"/>
    <d v="2025-03-27T00:00:00"/>
    <x v="1"/>
    <s v="South"/>
    <x v="1"/>
    <s v="Referral"/>
    <s v="Free"/>
    <n v="0"/>
    <n v="0"/>
    <n v="0"/>
    <n v="0"/>
    <n v="0"/>
    <x v="0"/>
    <n v="0"/>
    <m/>
    <n v="87.8"/>
    <x v="0"/>
  </r>
  <r>
    <s v="USR-100995"/>
    <d v="2025-03-20T00:00:00"/>
    <x v="1"/>
    <s v="East"/>
    <x v="2"/>
    <s v="Social"/>
    <s v="Free"/>
    <n v="0"/>
    <n v="0"/>
    <n v="0"/>
    <n v="0"/>
    <n v="0"/>
    <x v="0"/>
    <n v="0"/>
    <m/>
    <n v="86.4"/>
    <x v="0"/>
  </r>
  <r>
    <s v="USR-100996"/>
    <d v="2025-01-09T00:00:00"/>
    <x v="1"/>
    <s v="North"/>
    <x v="1"/>
    <s v="Paid Search"/>
    <s v="Basic"/>
    <n v="0"/>
    <n v="0"/>
    <n v="0"/>
    <n v="0"/>
    <n v="0"/>
    <x v="1"/>
    <n v="0"/>
    <m/>
    <n v="71.400000000000006"/>
    <x v="0"/>
  </r>
  <r>
    <s v="USR-100997"/>
    <d v="2025-04-25T00:00:00"/>
    <x v="1"/>
    <s v="West"/>
    <x v="1"/>
    <s v="Social"/>
    <s v="Free"/>
    <n v="1"/>
    <n v="1"/>
    <n v="1"/>
    <n v="1"/>
    <n v="218.66"/>
    <x v="0"/>
    <n v="1"/>
    <n v="8"/>
    <n v="72.2"/>
    <x v="0"/>
  </r>
  <r>
    <s v="USR-100998"/>
    <d v="2025-04-11T00:00:00"/>
    <x v="1"/>
    <s v="South"/>
    <x v="0"/>
    <s v="Social"/>
    <s v="Free"/>
    <n v="1"/>
    <n v="0"/>
    <n v="0"/>
    <n v="0"/>
    <n v="0"/>
    <x v="0"/>
    <n v="0"/>
    <m/>
    <n v="51.9"/>
    <x v="0"/>
  </r>
  <r>
    <s v="USR-100999"/>
    <d v="2025-02-05T00:00:00"/>
    <x v="1"/>
    <s v="East"/>
    <x v="1"/>
    <s v="Social"/>
    <s v="Basic"/>
    <n v="1"/>
    <n v="1"/>
    <n v="1"/>
    <n v="0"/>
    <n v="0"/>
    <x v="0"/>
    <n v="0"/>
    <m/>
    <n v="70.3"/>
    <x v="0"/>
  </r>
  <r>
    <s v="USR-101000"/>
    <d v="2025-03-28T00:00:00"/>
    <x v="1"/>
    <s v="South"/>
    <x v="1"/>
    <s v="Social"/>
    <s v="Premium"/>
    <n v="1"/>
    <n v="0"/>
    <n v="0"/>
    <n v="0"/>
    <n v="0"/>
    <x v="1"/>
    <n v="0"/>
    <m/>
    <n v="49.2"/>
    <x v="0"/>
  </r>
  <r>
    <s v="USR-101001"/>
    <d v="2025-05-14T00:00:00"/>
    <x v="1"/>
    <s v="South"/>
    <x v="1"/>
    <s v="Referral"/>
    <s v="Free"/>
    <n v="0"/>
    <n v="0"/>
    <n v="0"/>
    <n v="0"/>
    <n v="0"/>
    <x v="0"/>
    <n v="0"/>
    <m/>
    <n v="52.2"/>
    <x v="0"/>
  </r>
  <r>
    <s v="USR-101002"/>
    <d v="2025-03-10T00:00:00"/>
    <x v="1"/>
    <s v="East"/>
    <x v="1"/>
    <s v="Paid Search"/>
    <s v="Basic"/>
    <n v="0"/>
    <n v="0"/>
    <n v="0"/>
    <n v="0"/>
    <n v="0"/>
    <x v="1"/>
    <n v="0"/>
    <m/>
    <n v="62.6"/>
    <x v="0"/>
  </r>
  <r>
    <s v="USR-101003"/>
    <d v="2025-04-09T00:00:00"/>
    <x v="1"/>
    <s v="East"/>
    <x v="0"/>
    <s v="Paid Search"/>
    <s v="Free"/>
    <n v="1"/>
    <n v="1"/>
    <n v="0"/>
    <n v="0"/>
    <n v="0"/>
    <x v="0"/>
    <n v="0"/>
    <m/>
    <n v="100"/>
    <x v="0"/>
  </r>
  <r>
    <s v="USR-101004"/>
    <d v="2025-02-13T00:00:00"/>
    <x v="1"/>
    <s v="North"/>
    <x v="1"/>
    <s v="Referral"/>
    <s v="Basic"/>
    <n v="1"/>
    <n v="1"/>
    <n v="1"/>
    <n v="0"/>
    <n v="0"/>
    <x v="2"/>
    <n v="0"/>
    <m/>
    <n v="45.9"/>
    <x v="0"/>
  </r>
  <r>
    <s v="USR-101005"/>
    <d v="2025-05-03T00:00:00"/>
    <x v="1"/>
    <s v="East"/>
    <x v="1"/>
    <s v="Email"/>
    <s v="Free"/>
    <n v="1"/>
    <n v="1"/>
    <n v="1"/>
    <n v="0"/>
    <n v="0"/>
    <x v="0"/>
    <n v="0"/>
    <m/>
    <n v="80.7"/>
    <x v="0"/>
  </r>
  <r>
    <s v="USR-101006"/>
    <d v="2025-04-16T00:00:00"/>
    <x v="1"/>
    <s v="South"/>
    <x v="0"/>
    <s v="Referral"/>
    <s v="Premium"/>
    <n v="1"/>
    <n v="0"/>
    <n v="0"/>
    <n v="0"/>
    <n v="0"/>
    <x v="0"/>
    <n v="0"/>
    <m/>
    <n v="51.9"/>
    <x v="0"/>
  </r>
  <r>
    <s v="USR-101007"/>
    <d v="2025-04-30T00:00:00"/>
    <x v="1"/>
    <s v="North"/>
    <x v="1"/>
    <s v="Paid Search"/>
    <s v="Premium"/>
    <n v="1"/>
    <n v="0"/>
    <n v="0"/>
    <n v="0"/>
    <n v="0"/>
    <x v="0"/>
    <n v="0"/>
    <m/>
    <n v="68.900000000000006"/>
    <x v="0"/>
  </r>
  <r>
    <s v="USR-101008"/>
    <d v="2025-02-18T00:00:00"/>
    <x v="1"/>
    <s v="West"/>
    <x v="0"/>
    <s v="Organic"/>
    <s v="Free"/>
    <n v="1"/>
    <n v="0"/>
    <n v="0"/>
    <n v="0"/>
    <n v="0"/>
    <x v="0"/>
    <n v="0"/>
    <m/>
    <n v="66"/>
    <x v="0"/>
  </r>
  <r>
    <s v="USR-101009"/>
    <d v="2025-05-22T00:00:00"/>
    <x v="1"/>
    <s v="West"/>
    <x v="0"/>
    <s v="Referral"/>
    <s v="Basic"/>
    <n v="0"/>
    <n v="0"/>
    <n v="0"/>
    <n v="0"/>
    <n v="0"/>
    <x v="0"/>
    <n v="0"/>
    <m/>
    <n v="63.1"/>
    <x v="0"/>
  </r>
  <r>
    <s v="USR-101010"/>
    <d v="2025-05-21T00:00:00"/>
    <x v="1"/>
    <s v="South"/>
    <x v="0"/>
    <s v="Organic"/>
    <s v="Free"/>
    <n v="0"/>
    <n v="0"/>
    <n v="0"/>
    <n v="0"/>
    <n v="0"/>
    <x v="0"/>
    <n v="0"/>
    <m/>
    <n v="56"/>
    <x v="0"/>
  </r>
  <r>
    <s v="USR-101011"/>
    <d v="2025-04-10T00:00:00"/>
    <x v="1"/>
    <s v="East"/>
    <x v="0"/>
    <s v="Organic"/>
    <s v="Free"/>
    <n v="1"/>
    <n v="0"/>
    <n v="0"/>
    <n v="0"/>
    <n v="0"/>
    <x v="1"/>
    <n v="0"/>
    <m/>
    <n v="65.7"/>
    <x v="0"/>
  </r>
  <r>
    <s v="USR-101012"/>
    <d v="2025-01-07T00:00:00"/>
    <x v="1"/>
    <s v="North"/>
    <x v="0"/>
    <s v="Organic"/>
    <s v="Premium"/>
    <n v="1"/>
    <n v="1"/>
    <n v="1"/>
    <n v="1"/>
    <n v="1938.31"/>
    <x v="1"/>
    <n v="0"/>
    <n v="9"/>
    <n v="60.9"/>
    <x v="0"/>
  </r>
  <r>
    <s v="USR-101013"/>
    <d v="2025-02-03T00:00:00"/>
    <x v="1"/>
    <s v="South"/>
    <x v="0"/>
    <s v="Social"/>
    <s v="Free"/>
    <n v="0"/>
    <n v="0"/>
    <n v="0"/>
    <n v="0"/>
    <n v="0"/>
    <x v="0"/>
    <n v="0"/>
    <m/>
    <n v="45.5"/>
    <x v="0"/>
  </r>
  <r>
    <s v="USR-101014"/>
    <d v="2025-05-18T00:00:00"/>
    <x v="1"/>
    <s v="North"/>
    <x v="1"/>
    <s v="Paid Search"/>
    <s v="Free"/>
    <n v="1"/>
    <n v="0"/>
    <n v="0"/>
    <n v="0"/>
    <n v="0"/>
    <x v="0"/>
    <n v="0"/>
    <m/>
    <n v="50"/>
    <x v="0"/>
  </r>
  <r>
    <s v="USR-101015"/>
    <d v="2025-01-31T00:00:00"/>
    <x v="1"/>
    <s v="North"/>
    <x v="1"/>
    <s v="Referral"/>
    <s v="Free"/>
    <n v="1"/>
    <n v="0"/>
    <n v="0"/>
    <n v="0"/>
    <n v="0"/>
    <x v="0"/>
    <n v="0"/>
    <m/>
    <n v="72.099999999999994"/>
    <x v="0"/>
  </r>
  <r>
    <s v="USR-101016"/>
    <d v="2025-01-16T00:00:00"/>
    <x v="1"/>
    <s v="South"/>
    <x v="0"/>
    <s v="Organic"/>
    <s v="Basic"/>
    <n v="1"/>
    <n v="0"/>
    <n v="0"/>
    <n v="0"/>
    <n v="0"/>
    <x v="0"/>
    <n v="0"/>
    <m/>
    <n v="76.3"/>
    <x v="0"/>
  </r>
  <r>
    <s v="USR-101017"/>
    <d v="2025-05-14T00:00:00"/>
    <x v="1"/>
    <s v="East"/>
    <x v="1"/>
    <s v="Paid Search"/>
    <s v="Basic"/>
    <n v="1"/>
    <n v="1"/>
    <n v="0"/>
    <n v="0"/>
    <n v="0"/>
    <x v="1"/>
    <n v="0"/>
    <m/>
    <n v="54.8"/>
    <x v="0"/>
  </r>
  <r>
    <s v="USR-101018"/>
    <d v="2025-04-01T00:00:00"/>
    <x v="1"/>
    <s v="South"/>
    <x v="1"/>
    <m/>
    <s v="Basic"/>
    <n v="1"/>
    <n v="0"/>
    <n v="0"/>
    <n v="0"/>
    <n v="0"/>
    <x v="0"/>
    <n v="0"/>
    <m/>
    <n v="63.6"/>
    <x v="0"/>
  </r>
  <r>
    <s v="USR-101019"/>
    <d v="2025-04-23T00:00:00"/>
    <x v="1"/>
    <s v="South"/>
    <x v="1"/>
    <s v="Organic"/>
    <s v="Free"/>
    <n v="1"/>
    <n v="0"/>
    <n v="0"/>
    <n v="0"/>
    <n v="0"/>
    <x v="0"/>
    <n v="0"/>
    <m/>
    <n v="68.8"/>
    <x v="0"/>
  </r>
  <r>
    <s v="USR-101020"/>
    <d v="2025-03-02T00:00:00"/>
    <x v="1"/>
    <s v="South"/>
    <x v="0"/>
    <s v="Paid Search"/>
    <s v="Basic"/>
    <n v="1"/>
    <n v="0"/>
    <n v="0"/>
    <n v="0"/>
    <n v="0"/>
    <x v="0"/>
    <n v="0"/>
    <m/>
    <n v="63.2"/>
    <x v="0"/>
  </r>
  <r>
    <s v="USR-101021"/>
    <d v="2025-01-02T00:00:00"/>
    <x v="1"/>
    <s v="East"/>
    <x v="1"/>
    <s v="Paid Search"/>
    <s v="Basic"/>
    <n v="0"/>
    <n v="0"/>
    <n v="0"/>
    <n v="0"/>
    <n v="0"/>
    <x v="0"/>
    <n v="0"/>
    <m/>
    <n v="45"/>
    <x v="0"/>
  </r>
  <r>
    <s v="USR-101022"/>
    <d v="2025-05-04T00:00:00"/>
    <x v="1"/>
    <s v="South"/>
    <x v="1"/>
    <s v="Organic"/>
    <s v="Free"/>
    <n v="1"/>
    <n v="0"/>
    <n v="0"/>
    <n v="0"/>
    <n v="0"/>
    <x v="0"/>
    <n v="0"/>
    <m/>
    <n v="77.400000000000006"/>
    <x v="0"/>
  </r>
  <r>
    <s v="USR-101023"/>
    <d v="2025-01-16T00:00:00"/>
    <x v="1"/>
    <s v="East"/>
    <x v="0"/>
    <s v="Paid Search"/>
    <s v="Basic"/>
    <n v="0"/>
    <n v="0"/>
    <n v="0"/>
    <n v="0"/>
    <n v="0"/>
    <x v="0"/>
    <n v="0"/>
    <m/>
    <n v="53.1"/>
    <x v="0"/>
  </r>
  <r>
    <s v="USR-101024"/>
    <d v="2025-02-11T00:00:00"/>
    <x v="1"/>
    <s v="West"/>
    <x v="2"/>
    <s v="Paid Search"/>
    <s v="Premium"/>
    <n v="0"/>
    <n v="0"/>
    <n v="0"/>
    <n v="0"/>
    <n v="0"/>
    <x v="0"/>
    <n v="0"/>
    <m/>
    <n v="74"/>
    <x v="0"/>
  </r>
  <r>
    <s v="USR-101025"/>
    <d v="2025-04-03T00:00:00"/>
    <x v="1"/>
    <s v="North"/>
    <x v="1"/>
    <s v="Social"/>
    <s v="Premium"/>
    <n v="1"/>
    <n v="1"/>
    <n v="1"/>
    <n v="1"/>
    <n v="1906.23"/>
    <x v="0"/>
    <n v="0"/>
    <n v="4"/>
    <n v="84.6"/>
    <x v="0"/>
  </r>
  <r>
    <s v="USR-101026"/>
    <d v="2025-03-26T00:00:00"/>
    <x v="1"/>
    <s v="East"/>
    <x v="1"/>
    <s v="Referral"/>
    <s v="Free"/>
    <n v="1"/>
    <n v="0"/>
    <n v="0"/>
    <n v="0"/>
    <n v="0"/>
    <x v="0"/>
    <n v="0"/>
    <m/>
    <n v="57"/>
    <x v="0"/>
  </r>
  <r>
    <s v="USR-101027"/>
    <d v="2025-05-16T00:00:00"/>
    <x v="1"/>
    <s v="South"/>
    <x v="1"/>
    <s v="Email"/>
    <s v="Premium"/>
    <n v="0"/>
    <n v="0"/>
    <n v="0"/>
    <n v="0"/>
    <n v="0"/>
    <x v="0"/>
    <n v="0"/>
    <m/>
    <n v="46.3"/>
    <x v="0"/>
  </r>
  <r>
    <s v="USR-101028"/>
    <d v="2025-04-20T00:00:00"/>
    <x v="1"/>
    <s v="West"/>
    <x v="1"/>
    <s v="Social"/>
    <s v="Free"/>
    <n v="0"/>
    <n v="0"/>
    <n v="0"/>
    <n v="0"/>
    <n v="0"/>
    <x v="1"/>
    <n v="0"/>
    <m/>
    <n v="64.400000000000006"/>
    <x v="0"/>
  </r>
  <r>
    <s v="USR-101029"/>
    <d v="2025-04-15T00:00:00"/>
    <x v="1"/>
    <s v="West"/>
    <x v="1"/>
    <s v="Paid Search"/>
    <s v="Free"/>
    <n v="1"/>
    <n v="0"/>
    <n v="0"/>
    <n v="0"/>
    <n v="0"/>
    <x v="2"/>
    <n v="0"/>
    <m/>
    <n v="61.9"/>
    <x v="0"/>
  </r>
  <r>
    <s v="USR-101030"/>
    <d v="2025-01-24T00:00:00"/>
    <x v="1"/>
    <s v="North"/>
    <x v="1"/>
    <s v="Organic"/>
    <s v="Premium"/>
    <n v="1"/>
    <n v="1"/>
    <n v="1"/>
    <n v="0"/>
    <n v="0"/>
    <x v="0"/>
    <n v="0"/>
    <m/>
    <n v="93.7"/>
    <x v="0"/>
  </r>
  <r>
    <s v="USR-101031"/>
    <d v="2025-04-11T00:00:00"/>
    <x v="1"/>
    <s v="South"/>
    <x v="1"/>
    <s v="Referral"/>
    <s v="Basic"/>
    <n v="0"/>
    <n v="0"/>
    <n v="0"/>
    <n v="0"/>
    <n v="0"/>
    <x v="0"/>
    <n v="0"/>
    <m/>
    <n v="61.6"/>
    <x v="0"/>
  </r>
  <r>
    <s v="USR-101032"/>
    <d v="2025-05-19T00:00:00"/>
    <x v="1"/>
    <s v="North"/>
    <x v="1"/>
    <s v="Paid Search"/>
    <s v="Free"/>
    <n v="1"/>
    <n v="0"/>
    <n v="0"/>
    <n v="0"/>
    <n v="0"/>
    <x v="0"/>
    <n v="0"/>
    <m/>
    <n v="72.2"/>
    <x v="0"/>
  </r>
  <r>
    <s v="USR-101033"/>
    <d v="2025-01-14T00:00:00"/>
    <x v="1"/>
    <s v="North"/>
    <x v="1"/>
    <s v="Organic"/>
    <s v="Basic"/>
    <n v="0"/>
    <n v="0"/>
    <n v="0"/>
    <n v="0"/>
    <n v="0"/>
    <x v="0"/>
    <n v="0"/>
    <m/>
    <n v="69.5"/>
    <x v="0"/>
  </r>
  <r>
    <s v="USR-101034"/>
    <d v="2025-02-28T00:00:00"/>
    <x v="1"/>
    <s v="East"/>
    <x v="0"/>
    <s v="Organic"/>
    <s v="Basic"/>
    <n v="0"/>
    <n v="0"/>
    <n v="0"/>
    <n v="0"/>
    <n v="0"/>
    <x v="0"/>
    <n v="0"/>
    <m/>
    <n v="59.7"/>
    <x v="0"/>
  </r>
  <r>
    <s v="USR-101035"/>
    <d v="2025-05-18T00:00:00"/>
    <x v="1"/>
    <s v="East"/>
    <x v="2"/>
    <s v="Paid Search"/>
    <s v="Basic"/>
    <n v="1"/>
    <n v="0"/>
    <n v="0"/>
    <n v="0"/>
    <n v="0"/>
    <x v="0"/>
    <n v="0"/>
    <m/>
    <n v="73.900000000000006"/>
    <x v="0"/>
  </r>
  <r>
    <s v="USR-101036"/>
    <d v="2025-01-04T00:00:00"/>
    <x v="1"/>
    <s v="North"/>
    <x v="1"/>
    <s v="Social"/>
    <s v="Free"/>
    <n v="0"/>
    <n v="0"/>
    <n v="0"/>
    <n v="0"/>
    <n v="0"/>
    <x v="0"/>
    <n v="0"/>
    <m/>
    <n v="41.5"/>
    <x v="0"/>
  </r>
  <r>
    <s v="USR-101037"/>
    <d v="2025-01-16T00:00:00"/>
    <x v="1"/>
    <s v="West"/>
    <x v="1"/>
    <s v="Social"/>
    <s v="Premium"/>
    <n v="1"/>
    <n v="0"/>
    <n v="0"/>
    <n v="0"/>
    <n v="0"/>
    <x v="0"/>
    <n v="0"/>
    <m/>
    <n v="82.8"/>
    <x v="0"/>
  </r>
  <r>
    <s v="USR-101038"/>
    <d v="2025-03-14T00:00:00"/>
    <x v="1"/>
    <s v="West"/>
    <x v="1"/>
    <s v="Social"/>
    <s v="Premium"/>
    <n v="1"/>
    <n v="0"/>
    <n v="0"/>
    <n v="0"/>
    <n v="0"/>
    <x v="3"/>
    <n v="0"/>
    <m/>
    <n v="70.2"/>
    <x v="0"/>
  </r>
  <r>
    <s v="USR-101039"/>
    <d v="2025-01-23T00:00:00"/>
    <x v="1"/>
    <s v="East"/>
    <x v="1"/>
    <s v="Paid Search"/>
    <s v="Basic"/>
    <n v="1"/>
    <n v="0"/>
    <n v="0"/>
    <n v="0"/>
    <n v="0"/>
    <x v="1"/>
    <n v="0"/>
    <m/>
    <n v="69.400000000000006"/>
    <x v="0"/>
  </r>
  <r>
    <s v="USR-101040"/>
    <d v="2025-02-03T00:00:00"/>
    <x v="1"/>
    <s v="North"/>
    <x v="0"/>
    <s v="Organic"/>
    <s v="Basic"/>
    <n v="1"/>
    <n v="0"/>
    <n v="0"/>
    <n v="0"/>
    <n v="0"/>
    <x v="0"/>
    <n v="0"/>
    <m/>
    <n v="60.4"/>
    <x v="0"/>
  </r>
  <r>
    <s v="USR-101041"/>
    <d v="2025-05-16T00:00:00"/>
    <x v="1"/>
    <s v="East"/>
    <x v="1"/>
    <s v="Referral"/>
    <s v="Free"/>
    <n v="1"/>
    <n v="0"/>
    <n v="0"/>
    <n v="0"/>
    <n v="0"/>
    <x v="0"/>
    <n v="0"/>
    <m/>
    <n v="45.7"/>
    <x v="0"/>
  </r>
  <r>
    <s v="USR-101042"/>
    <d v="2025-01-11T00:00:00"/>
    <x v="1"/>
    <s v="West"/>
    <x v="1"/>
    <s v="Organic"/>
    <s v="Basic"/>
    <n v="0"/>
    <n v="0"/>
    <n v="0"/>
    <n v="0"/>
    <n v="0"/>
    <x v="1"/>
    <n v="0"/>
    <m/>
    <n v="42.2"/>
    <x v="0"/>
  </r>
  <r>
    <s v="USR-101043"/>
    <d v="2025-05-25T00:00:00"/>
    <x v="1"/>
    <s v="North"/>
    <x v="0"/>
    <s v="Organic"/>
    <s v="Free"/>
    <n v="0"/>
    <n v="0"/>
    <n v="0"/>
    <n v="0"/>
    <n v="0"/>
    <x v="2"/>
    <n v="0"/>
    <m/>
    <n v="61.9"/>
    <x v="0"/>
  </r>
  <r>
    <s v="USR-101044"/>
    <d v="2025-05-08T00:00:00"/>
    <x v="1"/>
    <s v="East"/>
    <x v="1"/>
    <s v="Paid Search"/>
    <s v="Premium"/>
    <n v="0"/>
    <n v="0"/>
    <n v="0"/>
    <n v="0"/>
    <n v="0"/>
    <x v="0"/>
    <n v="0"/>
    <m/>
    <n v="44.9"/>
    <x v="0"/>
  </r>
  <r>
    <s v="USR-101045"/>
    <d v="2025-02-26T00:00:00"/>
    <x v="1"/>
    <s v="East"/>
    <x v="0"/>
    <m/>
    <s v="Basic"/>
    <n v="1"/>
    <n v="0"/>
    <n v="0"/>
    <n v="0"/>
    <n v="0"/>
    <x v="0"/>
    <n v="0"/>
    <m/>
    <n v="68"/>
    <x v="0"/>
  </r>
  <r>
    <s v="USR-101046"/>
    <d v="2025-03-30T00:00:00"/>
    <x v="1"/>
    <s v="North"/>
    <x v="1"/>
    <s v="Paid Search"/>
    <s v="Free"/>
    <n v="1"/>
    <n v="0"/>
    <n v="0"/>
    <n v="0"/>
    <n v="0"/>
    <x v="0"/>
    <n v="0"/>
    <m/>
    <n v="61"/>
    <x v="0"/>
  </r>
  <r>
    <s v="USR-101047"/>
    <d v="2025-04-13T00:00:00"/>
    <x v="1"/>
    <s v="West"/>
    <x v="1"/>
    <s v="Organic"/>
    <s v="Basic"/>
    <n v="1"/>
    <n v="0"/>
    <n v="0"/>
    <n v="0"/>
    <n v="0"/>
    <x v="0"/>
    <n v="0"/>
    <m/>
    <n v="55"/>
    <x v="0"/>
  </r>
  <r>
    <s v="USR-101048"/>
    <d v="2025-02-20T00:00:00"/>
    <x v="1"/>
    <s v="East"/>
    <x v="3"/>
    <s v="Paid Search"/>
    <s v="Basic"/>
    <n v="1"/>
    <n v="0"/>
    <n v="0"/>
    <n v="0"/>
    <n v="0"/>
    <x v="0"/>
    <n v="0"/>
    <m/>
    <n v="63.1"/>
    <x v="0"/>
  </r>
  <r>
    <s v="USR-101049"/>
    <d v="2025-04-19T00:00:00"/>
    <x v="1"/>
    <s v="West"/>
    <x v="0"/>
    <s v="Social"/>
    <s v="Free"/>
    <n v="1"/>
    <n v="0"/>
    <n v="0"/>
    <n v="0"/>
    <n v="0"/>
    <x v="0"/>
    <n v="0"/>
    <m/>
    <n v="75.8"/>
    <x v="0"/>
  </r>
  <r>
    <s v="USR-101050"/>
    <d v="2025-03-22T00:00:00"/>
    <x v="1"/>
    <s v="South"/>
    <x v="1"/>
    <s v="Paid Search"/>
    <s v="Free"/>
    <n v="1"/>
    <n v="1"/>
    <n v="0"/>
    <n v="0"/>
    <n v="0"/>
    <x v="1"/>
    <n v="0"/>
    <m/>
    <n v="43.8"/>
    <x v="0"/>
  </r>
  <r>
    <s v="USR-101051"/>
    <d v="2025-02-28T00:00:00"/>
    <x v="1"/>
    <s v="North"/>
    <x v="1"/>
    <s v="Email"/>
    <s v="Basic"/>
    <n v="1"/>
    <n v="1"/>
    <n v="0"/>
    <n v="0"/>
    <n v="0"/>
    <x v="0"/>
    <n v="0"/>
    <m/>
    <n v="46.8"/>
    <x v="0"/>
  </r>
  <r>
    <s v="USR-101052"/>
    <d v="2025-05-24T00:00:00"/>
    <x v="1"/>
    <s v="East"/>
    <x v="1"/>
    <s v="Social"/>
    <s v="Free"/>
    <n v="1"/>
    <n v="1"/>
    <n v="1"/>
    <n v="0"/>
    <n v="0"/>
    <x v="0"/>
    <n v="0"/>
    <m/>
    <n v="97.4"/>
    <x v="0"/>
  </r>
  <r>
    <s v="USR-101053"/>
    <d v="2025-02-03T00:00:00"/>
    <x v="1"/>
    <s v="North"/>
    <x v="0"/>
    <s v="Email"/>
    <s v="Free"/>
    <n v="1"/>
    <n v="1"/>
    <n v="1"/>
    <n v="1"/>
    <n v="268.95999999999998"/>
    <x v="0"/>
    <n v="0"/>
    <n v="14"/>
    <n v="81"/>
    <x v="0"/>
  </r>
  <r>
    <s v="USR-101054"/>
    <d v="2025-01-27T00:00:00"/>
    <x v="1"/>
    <s v="South"/>
    <x v="1"/>
    <s v="Organic"/>
    <s v="Free"/>
    <n v="1"/>
    <n v="0"/>
    <n v="0"/>
    <n v="0"/>
    <n v="0"/>
    <x v="1"/>
    <n v="0"/>
    <m/>
    <n v="58.9"/>
    <x v="0"/>
  </r>
  <r>
    <s v="USR-101055"/>
    <d v="2025-04-17T00:00:00"/>
    <x v="1"/>
    <s v="East"/>
    <x v="1"/>
    <s v="Organic"/>
    <s v="Free"/>
    <n v="1"/>
    <n v="0"/>
    <n v="0"/>
    <n v="0"/>
    <n v="0"/>
    <x v="0"/>
    <n v="0"/>
    <m/>
    <n v="51.9"/>
    <x v="0"/>
  </r>
  <r>
    <s v="USR-101056"/>
    <d v="2025-02-06T00:00:00"/>
    <x v="1"/>
    <s v="West"/>
    <x v="1"/>
    <s v="Social"/>
    <s v="Free"/>
    <n v="1"/>
    <n v="1"/>
    <n v="0"/>
    <n v="0"/>
    <n v="0"/>
    <x v="0"/>
    <n v="0"/>
    <m/>
    <n v="61.7"/>
    <x v="0"/>
  </r>
  <r>
    <s v="USR-101057"/>
    <d v="2025-04-20T00:00:00"/>
    <x v="1"/>
    <s v="South"/>
    <x v="1"/>
    <s v="Paid Search"/>
    <s v="Free"/>
    <n v="1"/>
    <n v="0"/>
    <n v="0"/>
    <n v="0"/>
    <n v="0"/>
    <x v="0"/>
    <n v="0"/>
    <m/>
    <n v="44.7"/>
    <x v="0"/>
  </r>
  <r>
    <s v="USR-101058"/>
    <d v="2025-05-06T00:00:00"/>
    <x v="1"/>
    <s v="North"/>
    <x v="1"/>
    <s v="Paid Search"/>
    <s v="Basic"/>
    <n v="0"/>
    <n v="0"/>
    <n v="0"/>
    <n v="0"/>
    <n v="0"/>
    <x v="0"/>
    <n v="0"/>
    <m/>
    <n v="63.2"/>
    <x v="0"/>
  </r>
  <r>
    <s v="USR-100917"/>
    <d v="2025-02-23T00:00:00"/>
    <x v="1"/>
    <s v="West"/>
    <x v="0"/>
    <s v="Social"/>
    <s v="Basic"/>
    <n v="1"/>
    <n v="1"/>
    <n v="1"/>
    <n v="0"/>
    <n v="0"/>
    <x v="0"/>
    <n v="0"/>
    <m/>
    <n v="70.599999999999994"/>
    <x v="1"/>
  </r>
  <r>
    <s v="USR-101060"/>
    <d v="2025-03-02T00:00:00"/>
    <x v="1"/>
    <s v="South"/>
    <x v="1"/>
    <s v="Paid Search"/>
    <s v="Premium"/>
    <n v="1"/>
    <n v="1"/>
    <n v="0"/>
    <n v="0"/>
    <n v="0"/>
    <x v="1"/>
    <n v="0"/>
    <m/>
    <n v="83.1"/>
    <x v="0"/>
  </r>
  <r>
    <s v="USR-101061"/>
    <d v="2025-04-09T00:00:00"/>
    <x v="1"/>
    <s v="West"/>
    <x v="1"/>
    <s v="Social"/>
    <s v="Free"/>
    <n v="0"/>
    <n v="0"/>
    <n v="0"/>
    <n v="0"/>
    <n v="0"/>
    <x v="0"/>
    <n v="0"/>
    <m/>
    <n v="50.3"/>
    <x v="0"/>
  </r>
  <r>
    <s v="USR-101062"/>
    <d v="2025-01-26T00:00:00"/>
    <x v="1"/>
    <s v="East"/>
    <x v="1"/>
    <s v="Paid Search"/>
    <s v="Free"/>
    <n v="1"/>
    <n v="1"/>
    <n v="1"/>
    <n v="1"/>
    <n v="437.09"/>
    <x v="2"/>
    <n v="1"/>
    <n v="1"/>
    <n v="58.2"/>
    <x v="0"/>
  </r>
  <r>
    <s v="USR-101063"/>
    <d v="2025-02-25T00:00:00"/>
    <x v="1"/>
    <s v="South"/>
    <x v="1"/>
    <s v="Paid Search"/>
    <s v="Basic"/>
    <n v="1"/>
    <n v="1"/>
    <n v="1"/>
    <n v="0"/>
    <n v="0"/>
    <x v="0"/>
    <n v="0"/>
    <m/>
    <n v="53.2"/>
    <x v="0"/>
  </r>
  <r>
    <s v="USR-101064"/>
    <d v="2025-01-07T00:00:00"/>
    <x v="1"/>
    <s v="East"/>
    <x v="1"/>
    <s v="Organic"/>
    <s v="Premium"/>
    <n v="0"/>
    <n v="0"/>
    <n v="0"/>
    <n v="0"/>
    <n v="0"/>
    <x v="0"/>
    <n v="0"/>
    <m/>
    <n v="36.4"/>
    <x v="0"/>
  </r>
  <r>
    <s v="USR-101065"/>
    <d v="2025-03-08T00:00:00"/>
    <x v="1"/>
    <s v="South"/>
    <x v="1"/>
    <s v="Social"/>
    <s v="Basic"/>
    <n v="1"/>
    <n v="1"/>
    <n v="1"/>
    <n v="0"/>
    <n v="0"/>
    <x v="0"/>
    <n v="0"/>
    <m/>
    <n v="72.7"/>
    <x v="0"/>
  </r>
  <r>
    <s v="USR-101066"/>
    <d v="2025-05-22T00:00:00"/>
    <x v="1"/>
    <s v="East"/>
    <x v="1"/>
    <s v="Referral"/>
    <s v="Free"/>
    <n v="1"/>
    <n v="0"/>
    <n v="0"/>
    <n v="0"/>
    <n v="0"/>
    <x v="1"/>
    <n v="0"/>
    <m/>
    <n v="86.7"/>
    <x v="0"/>
  </r>
  <r>
    <s v="USR-101067"/>
    <d v="2025-04-18T00:00:00"/>
    <x v="1"/>
    <s v="East"/>
    <x v="1"/>
    <s v="Paid Search"/>
    <s v="Premium"/>
    <n v="1"/>
    <n v="0"/>
    <n v="0"/>
    <n v="0"/>
    <n v="0"/>
    <x v="0"/>
    <n v="0"/>
    <m/>
    <n v="48.2"/>
    <x v="0"/>
  </r>
  <r>
    <s v="USR-101068"/>
    <d v="2025-02-24T00:00:00"/>
    <x v="1"/>
    <s v="West"/>
    <x v="1"/>
    <s v="Referral"/>
    <s v="Basic"/>
    <n v="0"/>
    <n v="0"/>
    <n v="0"/>
    <n v="0"/>
    <n v="0"/>
    <x v="1"/>
    <n v="0"/>
    <m/>
    <n v="57.6"/>
    <x v="0"/>
  </r>
  <r>
    <s v="USR-101069"/>
    <d v="2025-02-11T00:00:00"/>
    <x v="1"/>
    <s v="North"/>
    <x v="1"/>
    <s v="Organic"/>
    <s v="Free"/>
    <n v="1"/>
    <n v="1"/>
    <n v="1"/>
    <n v="0"/>
    <n v="0"/>
    <x v="0"/>
    <n v="0"/>
    <m/>
    <n v="75.7"/>
    <x v="0"/>
  </r>
  <r>
    <s v="USR-101070"/>
    <d v="2025-03-11T00:00:00"/>
    <x v="1"/>
    <s v="West"/>
    <x v="0"/>
    <s v="Paid Search"/>
    <s v="Free"/>
    <n v="1"/>
    <n v="0"/>
    <n v="0"/>
    <n v="0"/>
    <n v="0"/>
    <x v="2"/>
    <n v="0"/>
    <m/>
    <n v="48.6"/>
    <x v="0"/>
  </r>
  <r>
    <s v="USR-101071"/>
    <d v="2025-04-11T00:00:00"/>
    <x v="1"/>
    <s v="East"/>
    <x v="2"/>
    <s v="Referral"/>
    <s v="Free"/>
    <n v="1"/>
    <n v="1"/>
    <n v="1"/>
    <n v="0"/>
    <n v="0"/>
    <x v="0"/>
    <n v="0"/>
    <m/>
    <n v="72"/>
    <x v="0"/>
  </r>
  <r>
    <s v="USR-101072"/>
    <d v="2025-03-11T00:00:00"/>
    <x v="1"/>
    <s v="North"/>
    <x v="1"/>
    <s v="Organic"/>
    <s v="Free"/>
    <n v="0"/>
    <n v="0"/>
    <n v="0"/>
    <n v="0"/>
    <n v="0"/>
    <x v="0"/>
    <n v="0"/>
    <m/>
    <n v="72.2"/>
    <x v="0"/>
  </r>
  <r>
    <s v="USR-101073"/>
    <d v="2025-05-22T00:00:00"/>
    <x v="1"/>
    <s v="East"/>
    <x v="1"/>
    <s v="Referral"/>
    <s v="Free"/>
    <n v="1"/>
    <n v="0"/>
    <n v="0"/>
    <n v="0"/>
    <n v="0"/>
    <x v="1"/>
    <n v="0"/>
    <m/>
    <m/>
    <x v="0"/>
  </r>
  <r>
    <s v="USR-101074"/>
    <d v="2025-02-22T00:00:00"/>
    <x v="1"/>
    <s v="South"/>
    <x v="0"/>
    <s v="Organic"/>
    <s v="Free"/>
    <n v="1"/>
    <n v="1"/>
    <n v="1"/>
    <n v="1"/>
    <n v="331.53"/>
    <x v="2"/>
    <n v="0"/>
    <n v="4"/>
    <n v="56.8"/>
    <x v="0"/>
  </r>
  <r>
    <s v="USR-101075"/>
    <d v="2025-01-13T00:00:00"/>
    <x v="1"/>
    <s v="East"/>
    <x v="1"/>
    <s v="Paid Search"/>
    <s v="Basic"/>
    <n v="1"/>
    <n v="0"/>
    <n v="0"/>
    <n v="0"/>
    <n v="0"/>
    <x v="0"/>
    <n v="0"/>
    <m/>
    <n v="62.5"/>
    <x v="0"/>
  </r>
  <r>
    <s v="USR-101076"/>
    <d v="2025-05-19T00:00:00"/>
    <x v="1"/>
    <s v="South"/>
    <x v="1"/>
    <s v="Organic"/>
    <s v="Free"/>
    <n v="1"/>
    <n v="0"/>
    <n v="0"/>
    <n v="0"/>
    <n v="0"/>
    <x v="0"/>
    <n v="0"/>
    <m/>
    <n v="63.4"/>
    <x v="0"/>
  </r>
  <r>
    <s v="USR-101077"/>
    <d v="2025-03-08T00:00:00"/>
    <x v="1"/>
    <s v="North"/>
    <x v="2"/>
    <s v="Organic"/>
    <s v="Basic"/>
    <n v="1"/>
    <n v="1"/>
    <n v="1"/>
    <n v="1"/>
    <n v="774.78"/>
    <x v="0"/>
    <n v="0"/>
    <n v="3"/>
    <n v="46.8"/>
    <x v="0"/>
  </r>
  <r>
    <s v="USR-101078"/>
    <d v="2025-04-20T00:00:00"/>
    <x v="1"/>
    <s v="South"/>
    <x v="1"/>
    <s v="Organic"/>
    <s v="Free"/>
    <n v="1"/>
    <n v="1"/>
    <n v="1"/>
    <n v="1"/>
    <n v="422.02"/>
    <x v="0"/>
    <n v="0"/>
    <n v="8"/>
    <n v="86.5"/>
    <x v="0"/>
  </r>
  <r>
    <s v="USR-101079"/>
    <d v="2025-05-08T00:00:00"/>
    <x v="1"/>
    <s v="West"/>
    <x v="1"/>
    <s v="Email"/>
    <s v="Basic"/>
    <n v="0"/>
    <n v="0"/>
    <n v="0"/>
    <n v="0"/>
    <n v="0"/>
    <x v="1"/>
    <n v="0"/>
    <m/>
    <n v="75.099999999999994"/>
    <x v="0"/>
  </r>
  <r>
    <s v="USR-101080"/>
    <d v="2025-05-10T00:00:00"/>
    <x v="1"/>
    <s v="South"/>
    <x v="1"/>
    <s v="Organic"/>
    <s v="Basic"/>
    <n v="1"/>
    <n v="0"/>
    <n v="0"/>
    <n v="0"/>
    <n v="0"/>
    <x v="0"/>
    <n v="0"/>
    <m/>
    <n v="64.5"/>
    <x v="0"/>
  </r>
  <r>
    <s v="USR-101081"/>
    <d v="2025-03-28T00:00:00"/>
    <x v="1"/>
    <s v="East"/>
    <x v="1"/>
    <s v="Organic"/>
    <s v="Free"/>
    <n v="1"/>
    <n v="0"/>
    <n v="0"/>
    <n v="0"/>
    <n v="0"/>
    <x v="0"/>
    <n v="0"/>
    <m/>
    <n v="54.2"/>
    <x v="0"/>
  </r>
  <r>
    <s v="USR-101082"/>
    <d v="2025-04-30T00:00:00"/>
    <x v="1"/>
    <s v="East"/>
    <x v="1"/>
    <s v="Paid Search"/>
    <s v="Premium"/>
    <n v="1"/>
    <n v="1"/>
    <n v="1"/>
    <n v="0"/>
    <n v="0"/>
    <x v="0"/>
    <n v="0"/>
    <m/>
    <n v="84.1"/>
    <x v="0"/>
  </r>
  <r>
    <s v="USR-101083"/>
    <d v="2025-02-08T00:00:00"/>
    <x v="1"/>
    <s v="North"/>
    <x v="1"/>
    <s v="Organic"/>
    <s v="Basic"/>
    <n v="0"/>
    <n v="0"/>
    <n v="0"/>
    <n v="0"/>
    <n v="0"/>
    <x v="1"/>
    <n v="0"/>
    <m/>
    <n v="49.1"/>
    <x v="0"/>
  </r>
  <r>
    <s v="USR-101084"/>
    <d v="2025-03-07T00:00:00"/>
    <x v="1"/>
    <s v="South"/>
    <x v="1"/>
    <s v="Referral"/>
    <s v="Premium"/>
    <n v="0"/>
    <n v="0"/>
    <n v="0"/>
    <n v="0"/>
    <n v="0"/>
    <x v="0"/>
    <n v="0"/>
    <m/>
    <n v="92.7"/>
    <x v="0"/>
  </r>
  <r>
    <s v="USR-101085"/>
    <d v="2025-05-21T00:00:00"/>
    <x v="1"/>
    <s v="South"/>
    <x v="1"/>
    <s v="Social"/>
    <s v="Basic"/>
    <n v="1"/>
    <n v="1"/>
    <n v="1"/>
    <n v="0"/>
    <n v="0"/>
    <x v="1"/>
    <n v="0"/>
    <m/>
    <n v="58.7"/>
    <x v="0"/>
  </r>
  <r>
    <s v="USR-101086"/>
    <d v="2025-04-12T00:00:00"/>
    <x v="1"/>
    <s v="South"/>
    <x v="1"/>
    <s v="Social"/>
    <s v="Free"/>
    <n v="1"/>
    <n v="1"/>
    <n v="1"/>
    <n v="0"/>
    <n v="0"/>
    <x v="0"/>
    <n v="0"/>
    <m/>
    <n v="59.3"/>
    <x v="0"/>
  </r>
  <r>
    <s v="USR-101087"/>
    <d v="2025-02-02T00:00:00"/>
    <x v="1"/>
    <s v="South"/>
    <x v="1"/>
    <s v="Paid Search"/>
    <s v="Free"/>
    <n v="1"/>
    <n v="0"/>
    <n v="0"/>
    <n v="0"/>
    <n v="0"/>
    <x v="0"/>
    <n v="0"/>
    <m/>
    <n v="62"/>
    <x v="0"/>
  </r>
  <r>
    <s v="USR-101088"/>
    <d v="2025-04-22T00:00:00"/>
    <x v="1"/>
    <s v="North"/>
    <x v="2"/>
    <s v="Referral"/>
    <s v="Free"/>
    <n v="1"/>
    <n v="1"/>
    <n v="1"/>
    <n v="0"/>
    <n v="0"/>
    <x v="1"/>
    <n v="0"/>
    <m/>
    <n v="60.3"/>
    <x v="0"/>
  </r>
  <r>
    <s v="USR-101089"/>
    <d v="2025-02-08T00:00:00"/>
    <x v="1"/>
    <s v="North"/>
    <x v="1"/>
    <s v="Social"/>
    <s v="Basic"/>
    <n v="1"/>
    <n v="0"/>
    <n v="0"/>
    <n v="0"/>
    <n v="0"/>
    <x v="0"/>
    <n v="0"/>
    <m/>
    <n v="70.5"/>
    <x v="0"/>
  </r>
  <r>
    <s v="USR-101090"/>
    <d v="2025-01-24T00:00:00"/>
    <x v="1"/>
    <s v="South"/>
    <x v="0"/>
    <s v="Email"/>
    <s v="Free"/>
    <n v="1"/>
    <n v="0"/>
    <n v="0"/>
    <n v="0"/>
    <n v="0"/>
    <x v="0"/>
    <n v="0"/>
    <m/>
    <n v="36.799999999999997"/>
    <x v="0"/>
  </r>
  <r>
    <s v="USR-101091"/>
    <d v="2025-05-12T00:00:00"/>
    <x v="1"/>
    <s v="South"/>
    <x v="1"/>
    <s v="Paid Search"/>
    <s v="Basic"/>
    <n v="0"/>
    <n v="0"/>
    <n v="0"/>
    <n v="0"/>
    <n v="0"/>
    <x v="1"/>
    <n v="0"/>
    <m/>
    <n v="73.2"/>
    <x v="0"/>
  </r>
  <r>
    <s v="USR-101092"/>
    <d v="2025-03-30T00:00:00"/>
    <x v="1"/>
    <s v="North"/>
    <x v="1"/>
    <s v="Organic"/>
    <s v="Basic"/>
    <n v="0"/>
    <n v="0"/>
    <n v="0"/>
    <n v="0"/>
    <n v="0"/>
    <x v="0"/>
    <n v="0"/>
    <m/>
    <n v="70.099999999999994"/>
    <x v="0"/>
  </r>
  <r>
    <s v="USR-101093"/>
    <d v="2025-01-02T00:00:00"/>
    <x v="1"/>
    <s v="South"/>
    <x v="0"/>
    <s v="Paid Search"/>
    <s v="Basic"/>
    <n v="1"/>
    <n v="0"/>
    <n v="0"/>
    <n v="0"/>
    <n v="0"/>
    <x v="0"/>
    <n v="0"/>
    <m/>
    <n v="76.400000000000006"/>
    <x v="0"/>
  </r>
  <r>
    <s v="USR-101094"/>
    <d v="2025-03-21T00:00:00"/>
    <x v="1"/>
    <s v="South"/>
    <x v="2"/>
    <s v="Email"/>
    <s v="Basic"/>
    <n v="0"/>
    <n v="0"/>
    <n v="0"/>
    <n v="0"/>
    <n v="0"/>
    <x v="0"/>
    <n v="0"/>
    <m/>
    <n v="46.4"/>
    <x v="0"/>
  </r>
  <r>
    <s v="USR-101095"/>
    <d v="2025-01-25T00:00:00"/>
    <x v="1"/>
    <s v="West"/>
    <x v="1"/>
    <s v="Organic"/>
    <s v="Free"/>
    <n v="1"/>
    <n v="1"/>
    <n v="1"/>
    <n v="0"/>
    <n v="0"/>
    <x v="1"/>
    <n v="0"/>
    <m/>
    <n v="81.3"/>
    <x v="0"/>
  </r>
  <r>
    <s v="USR-101096"/>
    <d v="2025-01-12T00:00:00"/>
    <x v="1"/>
    <s v="South"/>
    <x v="2"/>
    <s v="Social"/>
    <s v="Free"/>
    <n v="1"/>
    <n v="1"/>
    <n v="1"/>
    <n v="0"/>
    <n v="0"/>
    <x v="0"/>
    <n v="0"/>
    <m/>
    <n v="55.3"/>
    <x v="0"/>
  </r>
  <r>
    <s v="USR-101097"/>
    <d v="2025-03-18T00:00:00"/>
    <x v="1"/>
    <s v="East"/>
    <x v="0"/>
    <s v="Referral"/>
    <s v="Free"/>
    <n v="1"/>
    <n v="0"/>
    <n v="0"/>
    <n v="0"/>
    <n v="0"/>
    <x v="0"/>
    <n v="0"/>
    <m/>
    <n v="44.7"/>
    <x v="0"/>
  </r>
  <r>
    <s v="USR-101098"/>
    <d v="2025-03-26T00:00:00"/>
    <x v="1"/>
    <s v="East"/>
    <x v="1"/>
    <s v="Paid Search"/>
    <s v="Basic"/>
    <n v="1"/>
    <n v="0"/>
    <n v="0"/>
    <n v="0"/>
    <n v="0"/>
    <x v="0"/>
    <n v="0"/>
    <m/>
    <n v="67.2"/>
    <x v="0"/>
  </r>
  <r>
    <s v="USR-101099"/>
    <d v="2025-04-19T00:00:00"/>
    <x v="1"/>
    <s v="North"/>
    <x v="1"/>
    <s v="Paid Search"/>
    <s v="Basic"/>
    <n v="1"/>
    <n v="0"/>
    <n v="0"/>
    <n v="0"/>
    <n v="0"/>
    <x v="0"/>
    <n v="0"/>
    <m/>
    <m/>
    <x v="0"/>
  </r>
  <r>
    <s v="USR-101100"/>
    <d v="2025-04-17T00:00:00"/>
    <x v="1"/>
    <s v="East"/>
    <x v="1"/>
    <s v="Organic"/>
    <s v="Premium"/>
    <n v="1"/>
    <n v="1"/>
    <n v="1"/>
    <n v="0"/>
    <n v="0"/>
    <x v="1"/>
    <n v="0"/>
    <m/>
    <n v="70.8"/>
    <x v="0"/>
  </r>
  <r>
    <s v="USR-101101"/>
    <d v="2025-05-26T00:00:00"/>
    <x v="1"/>
    <s v="South"/>
    <x v="1"/>
    <s v="Paid Search"/>
    <s v="Free"/>
    <n v="1"/>
    <n v="0"/>
    <n v="0"/>
    <n v="0"/>
    <n v="0"/>
    <x v="0"/>
    <n v="0"/>
    <m/>
    <n v="71.3"/>
    <x v="0"/>
  </r>
  <r>
    <s v="USR-101102"/>
    <d v="2025-04-14T00:00:00"/>
    <x v="1"/>
    <s v="North"/>
    <x v="1"/>
    <s v="Social"/>
    <s v="Premium"/>
    <n v="1"/>
    <n v="1"/>
    <n v="1"/>
    <n v="0"/>
    <n v="0"/>
    <x v="0"/>
    <n v="0"/>
    <m/>
    <n v="69.400000000000006"/>
    <x v="0"/>
  </r>
  <r>
    <s v="USR-101103"/>
    <d v="2025-01-23T00:00:00"/>
    <x v="1"/>
    <s v="South"/>
    <x v="1"/>
    <s v="Organic"/>
    <s v="Basic"/>
    <n v="1"/>
    <n v="1"/>
    <n v="0"/>
    <n v="0"/>
    <n v="0"/>
    <x v="0"/>
    <n v="0"/>
    <m/>
    <n v="58.9"/>
    <x v="0"/>
  </r>
  <r>
    <s v="USR-101104"/>
    <d v="2025-01-06T00:00:00"/>
    <x v="1"/>
    <s v="East"/>
    <x v="1"/>
    <s v="Referral"/>
    <s v="Free"/>
    <n v="0"/>
    <n v="0"/>
    <n v="0"/>
    <n v="0"/>
    <n v="0"/>
    <x v="0"/>
    <n v="0"/>
    <m/>
    <n v="70.7"/>
    <x v="0"/>
  </r>
  <r>
    <s v="USR-101105"/>
    <d v="2025-05-31T00:00:00"/>
    <x v="1"/>
    <s v="West"/>
    <x v="1"/>
    <s v="Email"/>
    <s v="Basic"/>
    <n v="1"/>
    <n v="0"/>
    <n v="0"/>
    <n v="0"/>
    <n v="0"/>
    <x v="0"/>
    <n v="0"/>
    <m/>
    <n v="60.5"/>
    <x v="0"/>
  </r>
  <r>
    <s v="USR-101106"/>
    <d v="2025-05-19T00:00:00"/>
    <x v="1"/>
    <s v="North"/>
    <x v="1"/>
    <s v="Organic"/>
    <s v="Basic"/>
    <n v="1"/>
    <n v="1"/>
    <n v="1"/>
    <n v="0"/>
    <n v="0"/>
    <x v="0"/>
    <n v="0"/>
    <m/>
    <n v="77.3"/>
    <x v="0"/>
  </r>
  <r>
    <s v="USR-101107"/>
    <d v="2025-02-25T00:00:00"/>
    <x v="1"/>
    <s v="North"/>
    <x v="1"/>
    <s v="Organic"/>
    <s v="Free"/>
    <n v="0"/>
    <n v="0"/>
    <n v="0"/>
    <n v="0"/>
    <n v="0"/>
    <x v="1"/>
    <n v="0"/>
    <m/>
    <n v="39.5"/>
    <x v="0"/>
  </r>
  <r>
    <s v="USR-101108"/>
    <d v="2025-01-10T00:00:00"/>
    <x v="1"/>
    <s v="South"/>
    <x v="2"/>
    <s v="Organic"/>
    <s v="Basic"/>
    <n v="1"/>
    <n v="0"/>
    <n v="0"/>
    <n v="0"/>
    <n v="0"/>
    <x v="0"/>
    <n v="0"/>
    <m/>
    <n v="68.099999999999994"/>
    <x v="0"/>
  </r>
  <r>
    <s v="USR-101109"/>
    <d v="2025-05-13T00:00:00"/>
    <x v="1"/>
    <s v="North"/>
    <x v="2"/>
    <s v="Paid Search"/>
    <s v="Free"/>
    <n v="0"/>
    <n v="0"/>
    <n v="0"/>
    <n v="0"/>
    <n v="0"/>
    <x v="0"/>
    <n v="0"/>
    <m/>
    <n v="80.3"/>
    <x v="0"/>
  </r>
  <r>
    <s v="USR-101110"/>
    <d v="2025-04-27T00:00:00"/>
    <x v="1"/>
    <s v="West"/>
    <x v="0"/>
    <s v="Organic"/>
    <s v="Premium"/>
    <n v="1"/>
    <n v="0"/>
    <n v="0"/>
    <n v="0"/>
    <n v="0"/>
    <x v="0"/>
    <n v="0"/>
    <m/>
    <n v="77.7"/>
    <x v="0"/>
  </r>
  <r>
    <s v="USR-101111"/>
    <d v="2025-04-03T00:00:00"/>
    <x v="1"/>
    <s v="South"/>
    <x v="1"/>
    <s v="Organic"/>
    <s v="Free"/>
    <n v="1"/>
    <n v="0"/>
    <n v="0"/>
    <n v="0"/>
    <n v="0"/>
    <x v="1"/>
    <n v="0"/>
    <m/>
    <n v="66.2"/>
    <x v="0"/>
  </r>
  <r>
    <s v="USR-101112"/>
    <d v="2025-03-26T00:00:00"/>
    <x v="1"/>
    <s v="South"/>
    <x v="1"/>
    <s v="Organic"/>
    <s v="Free"/>
    <n v="1"/>
    <n v="1"/>
    <n v="1"/>
    <n v="0"/>
    <n v="0"/>
    <x v="1"/>
    <n v="0"/>
    <m/>
    <n v="43.9"/>
    <x v="0"/>
  </r>
  <r>
    <s v="USR-101113"/>
    <d v="2025-01-31T00:00:00"/>
    <x v="1"/>
    <s v="South"/>
    <x v="1"/>
    <s v="Organic"/>
    <s v="Basic"/>
    <n v="1"/>
    <n v="1"/>
    <n v="1"/>
    <n v="0"/>
    <n v="0"/>
    <x v="2"/>
    <n v="0"/>
    <m/>
    <n v="59.1"/>
    <x v="0"/>
  </r>
  <r>
    <s v="USR-101114"/>
    <d v="2025-01-25T00:00:00"/>
    <x v="1"/>
    <s v="South"/>
    <x v="1"/>
    <s v="Social"/>
    <s v="Free"/>
    <n v="1"/>
    <n v="1"/>
    <n v="1"/>
    <n v="1"/>
    <n v="416.94"/>
    <x v="1"/>
    <n v="0"/>
    <n v="11"/>
    <n v="67"/>
    <x v="0"/>
  </r>
  <r>
    <s v="USR-101115"/>
    <d v="2025-02-06T00:00:00"/>
    <x v="1"/>
    <s v="West"/>
    <x v="1"/>
    <s v="Referral"/>
    <s v="Basic"/>
    <n v="1"/>
    <n v="0"/>
    <n v="0"/>
    <n v="0"/>
    <n v="0"/>
    <x v="0"/>
    <n v="0"/>
    <m/>
    <n v="47.9"/>
    <x v="0"/>
  </r>
  <r>
    <s v="USR-101116"/>
    <d v="2025-03-10T00:00:00"/>
    <x v="1"/>
    <s v="East"/>
    <x v="1"/>
    <s v="Paid Search"/>
    <s v="Free"/>
    <n v="1"/>
    <n v="1"/>
    <n v="0"/>
    <n v="0"/>
    <n v="0"/>
    <x v="0"/>
    <n v="0"/>
    <m/>
    <n v="41.5"/>
    <x v="0"/>
  </r>
  <r>
    <s v="USR-101117"/>
    <d v="2025-01-26T00:00:00"/>
    <x v="1"/>
    <s v="West"/>
    <x v="1"/>
    <s v="Organic"/>
    <s v="Basic"/>
    <n v="1"/>
    <n v="1"/>
    <n v="1"/>
    <n v="0"/>
    <n v="0"/>
    <x v="3"/>
    <n v="0"/>
    <m/>
    <n v="30.6"/>
    <x v="0"/>
  </r>
  <r>
    <s v="USR-101118"/>
    <d v="2025-01-01T00:00:00"/>
    <x v="1"/>
    <s v="East"/>
    <x v="1"/>
    <s v="Paid Search"/>
    <s v="Free"/>
    <n v="1"/>
    <n v="1"/>
    <n v="0"/>
    <n v="0"/>
    <n v="0"/>
    <x v="0"/>
    <n v="0"/>
    <m/>
    <n v="91.5"/>
    <x v="0"/>
  </r>
  <r>
    <s v="USR-101119"/>
    <d v="2025-04-28T00:00:00"/>
    <x v="1"/>
    <s v="North"/>
    <x v="0"/>
    <s v="Social"/>
    <s v="Basic"/>
    <n v="1"/>
    <n v="0"/>
    <n v="0"/>
    <n v="0"/>
    <n v="0"/>
    <x v="0"/>
    <n v="0"/>
    <m/>
    <n v="80.8"/>
    <x v="0"/>
  </r>
  <r>
    <s v="USR-101120"/>
    <d v="2025-04-04T00:00:00"/>
    <x v="1"/>
    <s v="North"/>
    <x v="1"/>
    <s v="Organic"/>
    <s v="Premium"/>
    <n v="1"/>
    <n v="0"/>
    <n v="0"/>
    <n v="0"/>
    <n v="0"/>
    <x v="0"/>
    <n v="0"/>
    <m/>
    <n v="68.099999999999994"/>
    <x v="0"/>
  </r>
  <r>
    <s v="USR-101121"/>
    <d v="2025-03-02T00:00:00"/>
    <x v="1"/>
    <s v="East"/>
    <x v="1"/>
    <s v="Paid Search"/>
    <s v="Free"/>
    <n v="1"/>
    <n v="0"/>
    <n v="0"/>
    <n v="0"/>
    <n v="0"/>
    <x v="0"/>
    <n v="0"/>
    <m/>
    <n v="80.3"/>
    <x v="0"/>
  </r>
  <r>
    <s v="USR-101122"/>
    <d v="2025-03-19T00:00:00"/>
    <x v="1"/>
    <s v="South"/>
    <x v="2"/>
    <s v="Organic"/>
    <s v="Basic"/>
    <n v="1"/>
    <n v="0"/>
    <n v="0"/>
    <n v="0"/>
    <n v="0"/>
    <x v="0"/>
    <n v="0"/>
    <m/>
    <n v="44.4"/>
    <x v="0"/>
  </r>
  <r>
    <s v="USR-101123"/>
    <d v="2025-01-20T00:00:00"/>
    <x v="1"/>
    <s v="South"/>
    <x v="0"/>
    <s v="Organic"/>
    <s v="Basic"/>
    <n v="0"/>
    <n v="0"/>
    <n v="0"/>
    <n v="0"/>
    <n v="0"/>
    <x v="0"/>
    <n v="0"/>
    <m/>
    <n v="51.9"/>
    <x v="0"/>
  </r>
  <r>
    <s v="USR-101124"/>
    <d v="2025-04-03T00:00:00"/>
    <x v="1"/>
    <s v="East"/>
    <x v="1"/>
    <s v="Paid Search"/>
    <s v="Free"/>
    <n v="1"/>
    <n v="1"/>
    <n v="0"/>
    <n v="0"/>
    <n v="0"/>
    <x v="0"/>
    <n v="0"/>
    <m/>
    <n v="49.8"/>
    <x v="0"/>
  </r>
  <r>
    <s v="USR-101125"/>
    <d v="2025-01-11T00:00:00"/>
    <x v="1"/>
    <s v="East"/>
    <x v="0"/>
    <s v="Social"/>
    <s v="Free"/>
    <n v="1"/>
    <n v="1"/>
    <n v="1"/>
    <n v="0"/>
    <n v="0"/>
    <x v="3"/>
    <n v="0"/>
    <m/>
    <n v="62.1"/>
    <x v="0"/>
  </r>
  <r>
    <s v="USR-101126"/>
    <d v="2025-02-02T00:00:00"/>
    <x v="1"/>
    <s v="West"/>
    <x v="0"/>
    <s v="Social"/>
    <s v="Basic"/>
    <n v="1"/>
    <n v="0"/>
    <n v="0"/>
    <n v="0"/>
    <n v="0"/>
    <x v="0"/>
    <n v="0"/>
    <m/>
    <n v="91.3"/>
    <x v="0"/>
  </r>
  <r>
    <s v="USR-101127"/>
    <d v="2025-04-01T00:00:00"/>
    <x v="1"/>
    <s v="South"/>
    <x v="1"/>
    <s v="Organic"/>
    <s v="Basic"/>
    <n v="1"/>
    <n v="0"/>
    <n v="0"/>
    <n v="0"/>
    <n v="0"/>
    <x v="0"/>
    <n v="0"/>
    <m/>
    <n v="66.400000000000006"/>
    <x v="0"/>
  </r>
  <r>
    <s v="USR-101128"/>
    <d v="2025-05-22T00:00:00"/>
    <x v="1"/>
    <s v="East"/>
    <x v="1"/>
    <s v="Organic"/>
    <s v="Basic"/>
    <n v="1"/>
    <n v="0"/>
    <n v="0"/>
    <n v="0"/>
    <n v="0"/>
    <x v="0"/>
    <n v="0"/>
    <m/>
    <n v="41.5"/>
    <x v="0"/>
  </r>
  <r>
    <s v="USR-101129"/>
    <d v="2025-02-20T00:00:00"/>
    <x v="1"/>
    <s v="West"/>
    <x v="1"/>
    <s v="Organic"/>
    <s v="Basic"/>
    <n v="0"/>
    <n v="0"/>
    <n v="0"/>
    <n v="0"/>
    <n v="0"/>
    <x v="0"/>
    <n v="0"/>
    <m/>
    <n v="77.099999999999994"/>
    <x v="0"/>
  </r>
  <r>
    <s v="USR-101130"/>
    <d v="2025-03-21T00:00:00"/>
    <x v="1"/>
    <s v="West"/>
    <x v="1"/>
    <s v="Organic"/>
    <s v="Free"/>
    <n v="1"/>
    <n v="0"/>
    <n v="0"/>
    <n v="0"/>
    <n v="0"/>
    <x v="0"/>
    <n v="0"/>
    <m/>
    <n v="63.2"/>
    <x v="0"/>
  </r>
  <r>
    <s v="USR-101131"/>
    <d v="2025-05-01T00:00:00"/>
    <x v="1"/>
    <s v="West"/>
    <x v="0"/>
    <s v="Referral"/>
    <s v="Free"/>
    <n v="1"/>
    <n v="1"/>
    <n v="1"/>
    <n v="0"/>
    <n v="0"/>
    <x v="3"/>
    <n v="0"/>
    <m/>
    <n v="75.7"/>
    <x v="0"/>
  </r>
  <r>
    <s v="USR-101132"/>
    <d v="2025-01-06T00:00:00"/>
    <x v="1"/>
    <s v="West"/>
    <x v="1"/>
    <s v="Paid Search"/>
    <s v="Basic"/>
    <n v="0"/>
    <n v="0"/>
    <n v="0"/>
    <n v="0"/>
    <n v="0"/>
    <x v="0"/>
    <n v="0"/>
    <m/>
    <n v="62.9"/>
    <x v="0"/>
  </r>
  <r>
    <s v="USR-101133"/>
    <d v="2025-04-12T00:00:00"/>
    <x v="1"/>
    <s v="North"/>
    <x v="0"/>
    <s v="Paid Search"/>
    <s v="Premium"/>
    <n v="1"/>
    <n v="0"/>
    <n v="0"/>
    <n v="0"/>
    <n v="0"/>
    <x v="3"/>
    <n v="0"/>
    <m/>
    <n v="64.599999999999994"/>
    <x v="0"/>
  </r>
  <r>
    <s v="USR-101134"/>
    <d v="2025-04-18T00:00:00"/>
    <x v="1"/>
    <s v="North"/>
    <x v="1"/>
    <m/>
    <s v="Basic"/>
    <n v="1"/>
    <n v="0"/>
    <n v="0"/>
    <n v="0"/>
    <n v="0"/>
    <x v="0"/>
    <n v="0"/>
    <m/>
    <n v="76.599999999999994"/>
    <x v="0"/>
  </r>
  <r>
    <s v="USR-101135"/>
    <d v="2025-03-24T00:00:00"/>
    <x v="1"/>
    <s v="East"/>
    <x v="1"/>
    <s v="Social"/>
    <s v="Basic"/>
    <n v="1"/>
    <n v="0"/>
    <n v="0"/>
    <n v="0"/>
    <n v="0"/>
    <x v="0"/>
    <n v="0"/>
    <m/>
    <n v="74.8"/>
    <x v="0"/>
  </r>
  <r>
    <s v="USR-101136"/>
    <d v="2025-03-18T00:00:00"/>
    <x v="1"/>
    <s v="East"/>
    <x v="0"/>
    <s v="Email"/>
    <s v="Premium"/>
    <n v="1"/>
    <n v="0"/>
    <n v="0"/>
    <n v="0"/>
    <n v="0"/>
    <x v="2"/>
    <n v="0"/>
    <m/>
    <n v="38.1"/>
    <x v="0"/>
  </r>
  <r>
    <s v="USR-101137"/>
    <d v="2025-04-30T00:00:00"/>
    <x v="1"/>
    <s v="South"/>
    <x v="2"/>
    <s v="Paid Search"/>
    <s v="Basic"/>
    <n v="1"/>
    <n v="1"/>
    <n v="0"/>
    <n v="0"/>
    <n v="0"/>
    <x v="0"/>
    <n v="0"/>
    <m/>
    <n v="60.2"/>
    <x v="0"/>
  </r>
  <r>
    <s v="USR-101138"/>
    <d v="2025-01-25T00:00:00"/>
    <x v="1"/>
    <s v="West"/>
    <x v="1"/>
    <s v="Email"/>
    <s v="Free"/>
    <n v="1"/>
    <n v="1"/>
    <n v="0"/>
    <n v="0"/>
    <n v="0"/>
    <x v="0"/>
    <n v="0"/>
    <m/>
    <n v="73.5"/>
    <x v="0"/>
  </r>
  <r>
    <s v="USR-101139"/>
    <d v="2025-04-10T00:00:00"/>
    <x v="1"/>
    <s v="South"/>
    <x v="1"/>
    <s v="Organic"/>
    <s v="Free"/>
    <n v="1"/>
    <n v="0"/>
    <n v="0"/>
    <n v="0"/>
    <n v="0"/>
    <x v="0"/>
    <n v="0"/>
    <m/>
    <n v="70.900000000000006"/>
    <x v="0"/>
  </r>
  <r>
    <s v="USR-101140"/>
    <d v="2025-01-10T00:00:00"/>
    <x v="1"/>
    <s v="West"/>
    <x v="1"/>
    <s v="Social"/>
    <s v="Free"/>
    <n v="1"/>
    <n v="0"/>
    <n v="0"/>
    <n v="0"/>
    <n v="0"/>
    <x v="0"/>
    <n v="0"/>
    <m/>
    <n v="63.7"/>
    <x v="0"/>
  </r>
  <r>
    <s v="USR-101141"/>
    <d v="2025-02-11T00:00:00"/>
    <x v="1"/>
    <s v="South"/>
    <x v="1"/>
    <s v="Paid Search"/>
    <s v="Free"/>
    <n v="1"/>
    <n v="0"/>
    <n v="0"/>
    <n v="0"/>
    <n v="0"/>
    <x v="0"/>
    <n v="0"/>
    <m/>
    <n v="86.5"/>
    <x v="0"/>
  </r>
  <r>
    <s v="USR-101142"/>
    <d v="2025-05-01T00:00:00"/>
    <x v="1"/>
    <s v="East"/>
    <x v="1"/>
    <s v="Social"/>
    <s v="Basic"/>
    <n v="1"/>
    <n v="1"/>
    <n v="1"/>
    <n v="1"/>
    <n v="921.72"/>
    <x v="3"/>
    <n v="0"/>
    <n v="7"/>
    <n v="74.599999999999994"/>
    <x v="0"/>
  </r>
  <r>
    <s v="USR-101143"/>
    <d v="2025-01-18T00:00:00"/>
    <x v="1"/>
    <s v="East"/>
    <x v="1"/>
    <s v="Organic"/>
    <s v="Free"/>
    <n v="1"/>
    <n v="0"/>
    <n v="0"/>
    <n v="0"/>
    <n v="0"/>
    <x v="0"/>
    <n v="0"/>
    <m/>
    <n v="46.6"/>
    <x v="0"/>
  </r>
  <r>
    <s v="USR-101144"/>
    <d v="2025-01-02T00:00:00"/>
    <x v="1"/>
    <s v="North"/>
    <x v="1"/>
    <s v="Paid Search"/>
    <s v="Free"/>
    <n v="0"/>
    <n v="0"/>
    <n v="0"/>
    <n v="0"/>
    <n v="0"/>
    <x v="0"/>
    <n v="0"/>
    <m/>
    <n v="61.2"/>
    <x v="0"/>
  </r>
  <r>
    <s v="USR-101145"/>
    <d v="2025-05-11T00:00:00"/>
    <x v="1"/>
    <s v="West"/>
    <x v="1"/>
    <s v="Organic"/>
    <s v="Free"/>
    <n v="1"/>
    <n v="1"/>
    <n v="1"/>
    <n v="1"/>
    <n v="290.39"/>
    <x v="0"/>
    <n v="0"/>
    <n v="4"/>
    <n v="54.4"/>
    <x v="0"/>
  </r>
  <r>
    <s v="USR-101146"/>
    <d v="2025-03-22T00:00:00"/>
    <x v="1"/>
    <s v="North"/>
    <x v="1"/>
    <s v="Referral"/>
    <s v="Free"/>
    <n v="1"/>
    <n v="1"/>
    <n v="1"/>
    <n v="0"/>
    <n v="0"/>
    <x v="0"/>
    <n v="0"/>
    <m/>
    <n v="72"/>
    <x v="0"/>
  </r>
  <r>
    <s v="USR-101147"/>
    <d v="2025-05-02T00:00:00"/>
    <x v="1"/>
    <s v="South"/>
    <x v="1"/>
    <s v="Social"/>
    <s v="Premium"/>
    <n v="1"/>
    <n v="1"/>
    <n v="1"/>
    <n v="1"/>
    <n v="1858.85"/>
    <x v="0"/>
    <n v="0"/>
    <n v="8"/>
    <n v="88.6"/>
    <x v="0"/>
  </r>
  <r>
    <s v="USR-101148"/>
    <d v="2025-05-26T00:00:00"/>
    <x v="1"/>
    <s v="East"/>
    <x v="0"/>
    <m/>
    <s v="Basic"/>
    <n v="1"/>
    <n v="0"/>
    <n v="0"/>
    <n v="0"/>
    <n v="0"/>
    <x v="0"/>
    <n v="0"/>
    <m/>
    <n v="77.599999999999994"/>
    <x v="0"/>
  </r>
  <r>
    <s v="USR-101149"/>
    <d v="2025-03-13T00:00:00"/>
    <x v="1"/>
    <s v="South"/>
    <x v="1"/>
    <s v="Organic"/>
    <s v="Basic"/>
    <n v="1"/>
    <n v="0"/>
    <n v="0"/>
    <n v="0"/>
    <n v="0"/>
    <x v="1"/>
    <n v="0"/>
    <m/>
    <n v="44.3"/>
    <x v="0"/>
  </r>
  <r>
    <s v="USR-101150"/>
    <d v="2025-05-17T00:00:00"/>
    <x v="1"/>
    <s v="South"/>
    <x v="0"/>
    <s v="Paid Search"/>
    <s v="Free"/>
    <n v="1"/>
    <n v="1"/>
    <n v="0"/>
    <n v="0"/>
    <n v="0"/>
    <x v="0"/>
    <n v="0"/>
    <m/>
    <n v="49"/>
    <x v="0"/>
  </r>
  <r>
    <s v="USR-101151"/>
    <d v="2025-03-13T00:00:00"/>
    <x v="1"/>
    <s v="North"/>
    <x v="0"/>
    <s v="Referral"/>
    <s v="Premium"/>
    <n v="1"/>
    <n v="0"/>
    <n v="0"/>
    <n v="0"/>
    <n v="0"/>
    <x v="0"/>
    <n v="0"/>
    <m/>
    <n v="53.9"/>
    <x v="0"/>
  </r>
  <r>
    <s v="USR-101152"/>
    <d v="2025-02-11T00:00:00"/>
    <x v="1"/>
    <s v="East"/>
    <x v="0"/>
    <s v="Organic"/>
    <s v="Basic"/>
    <n v="1"/>
    <n v="0"/>
    <n v="0"/>
    <n v="0"/>
    <n v="0"/>
    <x v="1"/>
    <n v="0"/>
    <m/>
    <n v="69"/>
    <x v="0"/>
  </r>
  <r>
    <s v="USR-101153"/>
    <d v="2025-03-01T00:00:00"/>
    <x v="1"/>
    <s v="West"/>
    <x v="1"/>
    <s v="Social"/>
    <s v="Free"/>
    <n v="0"/>
    <n v="0"/>
    <n v="0"/>
    <n v="0"/>
    <n v="0"/>
    <x v="0"/>
    <n v="0"/>
    <m/>
    <n v="37.4"/>
    <x v="0"/>
  </r>
  <r>
    <s v="USR-101154"/>
    <d v="2025-04-15T00:00:00"/>
    <x v="1"/>
    <s v="West"/>
    <x v="1"/>
    <s v="Organic"/>
    <s v="Basic"/>
    <n v="0"/>
    <n v="0"/>
    <n v="0"/>
    <n v="0"/>
    <n v="0"/>
    <x v="0"/>
    <n v="0"/>
    <m/>
    <n v="59"/>
    <x v="0"/>
  </r>
  <r>
    <s v="USR-101155"/>
    <d v="2025-02-02T00:00:00"/>
    <x v="1"/>
    <s v="East"/>
    <x v="1"/>
    <s v="Organic"/>
    <s v="Premium"/>
    <n v="1"/>
    <n v="0"/>
    <n v="0"/>
    <n v="0"/>
    <n v="0"/>
    <x v="0"/>
    <n v="0"/>
    <m/>
    <n v="60.8"/>
    <x v="0"/>
  </r>
  <r>
    <s v="USR-101156"/>
    <d v="2025-05-19T00:00:00"/>
    <x v="1"/>
    <s v="South"/>
    <x v="1"/>
    <s v="Email"/>
    <s v="Free"/>
    <n v="1"/>
    <n v="0"/>
    <n v="0"/>
    <n v="0"/>
    <n v="0"/>
    <x v="0"/>
    <n v="0"/>
    <m/>
    <n v="57.5"/>
    <x v="0"/>
  </r>
  <r>
    <s v="USR-101157"/>
    <d v="2025-01-05T00:00:00"/>
    <x v="1"/>
    <s v="West"/>
    <x v="1"/>
    <s v="Referral"/>
    <s v="Free"/>
    <n v="0"/>
    <n v="0"/>
    <n v="0"/>
    <n v="0"/>
    <n v="0"/>
    <x v="0"/>
    <n v="0"/>
    <m/>
    <n v="84.2"/>
    <x v="0"/>
  </r>
  <r>
    <s v="USR-101158"/>
    <d v="2025-03-08T00:00:00"/>
    <x v="1"/>
    <s v="South"/>
    <x v="1"/>
    <s v="Paid Search"/>
    <s v="Free"/>
    <n v="1"/>
    <n v="1"/>
    <n v="0"/>
    <n v="0"/>
    <n v="0"/>
    <x v="0"/>
    <n v="0"/>
    <m/>
    <n v="27.4"/>
    <x v="0"/>
  </r>
  <r>
    <s v="USR-101159"/>
    <d v="2025-03-12T00:00:00"/>
    <x v="1"/>
    <s v="West"/>
    <x v="1"/>
    <s v="Email"/>
    <s v="Basic"/>
    <n v="1"/>
    <n v="0"/>
    <n v="0"/>
    <n v="0"/>
    <n v="0"/>
    <x v="1"/>
    <n v="0"/>
    <m/>
    <n v="67.599999999999994"/>
    <x v="0"/>
  </r>
  <r>
    <s v="USR-101160"/>
    <d v="2025-01-24T00:00:00"/>
    <x v="1"/>
    <s v="West"/>
    <x v="1"/>
    <s v="Organic"/>
    <s v="Free"/>
    <n v="0"/>
    <n v="0"/>
    <n v="0"/>
    <n v="0"/>
    <n v="0"/>
    <x v="0"/>
    <n v="0"/>
    <m/>
    <n v="68.400000000000006"/>
    <x v="0"/>
  </r>
  <r>
    <s v="USR-101161"/>
    <d v="2025-05-22T00:00:00"/>
    <x v="1"/>
    <s v="South"/>
    <x v="1"/>
    <s v="Paid Search"/>
    <s v="Basic"/>
    <n v="1"/>
    <n v="1"/>
    <n v="1"/>
    <n v="0"/>
    <n v="0"/>
    <x v="0"/>
    <n v="0"/>
    <m/>
    <n v="66.5"/>
    <x v="0"/>
  </r>
  <r>
    <s v="USR-101162"/>
    <d v="2025-03-27T00:00:00"/>
    <x v="1"/>
    <s v="South"/>
    <x v="1"/>
    <s v="Paid Search"/>
    <s v="Free"/>
    <n v="1"/>
    <n v="0"/>
    <n v="0"/>
    <n v="0"/>
    <n v="0"/>
    <x v="0"/>
    <n v="0"/>
    <m/>
    <n v="38.200000000000003"/>
    <x v="0"/>
  </r>
  <r>
    <s v="USR-101163"/>
    <d v="2025-01-02T00:00:00"/>
    <x v="1"/>
    <s v="West"/>
    <x v="1"/>
    <s v="Social"/>
    <s v="Free"/>
    <n v="0"/>
    <n v="0"/>
    <n v="0"/>
    <n v="0"/>
    <n v="0"/>
    <x v="1"/>
    <n v="0"/>
    <m/>
    <n v="66.7"/>
    <x v="0"/>
  </r>
  <r>
    <s v="USR-101164"/>
    <d v="2025-02-24T00:00:00"/>
    <x v="1"/>
    <s v="North"/>
    <x v="1"/>
    <s v="Paid Search"/>
    <s v="Free"/>
    <n v="0"/>
    <n v="0"/>
    <n v="0"/>
    <n v="0"/>
    <n v="0"/>
    <x v="1"/>
    <n v="0"/>
    <m/>
    <n v="73.7"/>
    <x v="0"/>
  </r>
  <r>
    <s v="USR-101165"/>
    <d v="2025-03-01T00:00:00"/>
    <x v="1"/>
    <s v="West"/>
    <x v="0"/>
    <s v="Organic"/>
    <s v="Basic"/>
    <n v="1"/>
    <n v="1"/>
    <n v="1"/>
    <n v="0"/>
    <n v="0"/>
    <x v="0"/>
    <n v="0"/>
    <m/>
    <n v="63.9"/>
    <x v="0"/>
  </r>
  <r>
    <s v="USR-101166"/>
    <d v="2025-03-26T00:00:00"/>
    <x v="1"/>
    <s v="South"/>
    <x v="2"/>
    <s v="Organic"/>
    <s v="Basic"/>
    <n v="1"/>
    <n v="0"/>
    <n v="0"/>
    <n v="0"/>
    <n v="0"/>
    <x v="1"/>
    <n v="0"/>
    <m/>
    <n v="82.6"/>
    <x v="0"/>
  </r>
  <r>
    <s v="USR-101167"/>
    <d v="2025-05-25T00:00:00"/>
    <x v="1"/>
    <s v="East"/>
    <x v="1"/>
    <s v="Paid Search"/>
    <s v="Free"/>
    <n v="0"/>
    <n v="0"/>
    <n v="0"/>
    <n v="0"/>
    <n v="0"/>
    <x v="1"/>
    <n v="0"/>
    <m/>
    <n v="58.3"/>
    <x v="0"/>
  </r>
  <r>
    <s v="USR-101168"/>
    <d v="2025-02-25T00:00:00"/>
    <x v="1"/>
    <s v="West"/>
    <x v="1"/>
    <s v="Referral"/>
    <s v="Premium"/>
    <n v="1"/>
    <n v="1"/>
    <n v="1"/>
    <n v="1"/>
    <n v="1547.06"/>
    <x v="0"/>
    <n v="1"/>
    <n v="2"/>
    <n v="72.900000000000006"/>
    <x v="0"/>
  </r>
  <r>
    <s v="USR-101169"/>
    <d v="2025-03-23T00:00:00"/>
    <x v="1"/>
    <s v="South"/>
    <x v="1"/>
    <s v="Social"/>
    <s v="Free"/>
    <n v="1"/>
    <n v="1"/>
    <n v="1"/>
    <n v="0"/>
    <n v="0"/>
    <x v="2"/>
    <n v="0"/>
    <m/>
    <n v="53.5"/>
    <x v="0"/>
  </r>
  <r>
    <s v="USR-101170"/>
    <d v="2025-04-21T00:00:00"/>
    <x v="1"/>
    <s v="West"/>
    <x v="1"/>
    <s v="Referral"/>
    <s v="Free"/>
    <n v="1"/>
    <n v="0"/>
    <n v="0"/>
    <n v="0"/>
    <n v="0"/>
    <x v="0"/>
    <n v="0"/>
    <m/>
    <n v="54.8"/>
    <x v="0"/>
  </r>
  <r>
    <s v="USR-101171"/>
    <d v="2025-05-21T00:00:00"/>
    <x v="1"/>
    <s v="North"/>
    <x v="1"/>
    <s v="Organic"/>
    <s v="Premium"/>
    <n v="1"/>
    <n v="0"/>
    <n v="0"/>
    <n v="0"/>
    <n v="0"/>
    <x v="0"/>
    <n v="0"/>
    <m/>
    <n v="69.5"/>
    <x v="0"/>
  </r>
  <r>
    <s v="USR-101172"/>
    <d v="2025-04-25T00:00:00"/>
    <x v="1"/>
    <s v="North"/>
    <x v="0"/>
    <s v="Social"/>
    <s v="Free"/>
    <n v="1"/>
    <n v="0"/>
    <n v="0"/>
    <n v="0"/>
    <n v="0"/>
    <x v="1"/>
    <n v="0"/>
    <m/>
    <n v="71.3"/>
    <x v="0"/>
  </r>
  <r>
    <s v="USR-101173"/>
    <d v="2025-05-23T00:00:00"/>
    <x v="1"/>
    <s v="West"/>
    <x v="1"/>
    <s v="Referral"/>
    <s v="Basic"/>
    <n v="1"/>
    <n v="0"/>
    <n v="0"/>
    <n v="0"/>
    <n v="0"/>
    <x v="1"/>
    <n v="0"/>
    <m/>
    <n v="57.5"/>
    <x v="0"/>
  </r>
  <r>
    <s v="USR-101174"/>
    <d v="2025-03-18T00:00:00"/>
    <x v="1"/>
    <s v="South"/>
    <x v="1"/>
    <s v="Email"/>
    <s v="Free"/>
    <n v="1"/>
    <n v="0"/>
    <n v="0"/>
    <n v="0"/>
    <n v="0"/>
    <x v="4"/>
    <n v="0"/>
    <m/>
    <n v="50.9"/>
    <x v="0"/>
  </r>
  <r>
    <s v="USR-101175"/>
    <d v="2025-01-03T00:00:00"/>
    <x v="1"/>
    <s v="South"/>
    <x v="2"/>
    <s v="Organic"/>
    <s v="Free"/>
    <n v="1"/>
    <n v="1"/>
    <n v="1"/>
    <n v="0"/>
    <n v="0"/>
    <x v="0"/>
    <n v="0"/>
    <m/>
    <n v="69.3"/>
    <x v="0"/>
  </r>
  <r>
    <s v="USR-101176"/>
    <d v="2025-02-08T00:00:00"/>
    <x v="1"/>
    <s v="West"/>
    <x v="0"/>
    <s v="Organic"/>
    <s v="Free"/>
    <n v="1"/>
    <n v="0"/>
    <n v="0"/>
    <n v="0"/>
    <n v="0"/>
    <x v="0"/>
    <n v="0"/>
    <m/>
    <n v="50.1"/>
    <x v="0"/>
  </r>
  <r>
    <s v="USR-101177"/>
    <d v="2025-02-04T00:00:00"/>
    <x v="1"/>
    <s v="East"/>
    <x v="3"/>
    <s v="Paid Search"/>
    <s v="Basic"/>
    <n v="0"/>
    <n v="0"/>
    <n v="0"/>
    <n v="0"/>
    <n v="0"/>
    <x v="0"/>
    <n v="0"/>
    <m/>
    <n v="69.7"/>
    <x v="0"/>
  </r>
  <r>
    <s v="USR-101178"/>
    <d v="2025-01-16T00:00:00"/>
    <x v="1"/>
    <s v="North"/>
    <x v="1"/>
    <s v="Paid Search"/>
    <s v="Free"/>
    <n v="0"/>
    <n v="0"/>
    <n v="0"/>
    <n v="0"/>
    <n v="0"/>
    <x v="0"/>
    <n v="0"/>
    <m/>
    <n v="63.5"/>
    <x v="0"/>
  </r>
  <r>
    <s v="USR-101179"/>
    <d v="2025-04-04T00:00:00"/>
    <x v="1"/>
    <s v="West"/>
    <x v="0"/>
    <s v="Paid Search"/>
    <s v="Free"/>
    <n v="1"/>
    <n v="1"/>
    <n v="1"/>
    <n v="1"/>
    <n v="265.58999999999997"/>
    <x v="1"/>
    <n v="0"/>
    <n v="8"/>
    <n v="80.400000000000006"/>
    <x v="0"/>
  </r>
  <r>
    <s v="USR-101180"/>
    <d v="2025-01-23T00:00:00"/>
    <x v="1"/>
    <s v="North"/>
    <x v="0"/>
    <s v="Paid Search"/>
    <s v="Free"/>
    <n v="0"/>
    <n v="0"/>
    <n v="0"/>
    <n v="0"/>
    <n v="0"/>
    <x v="0"/>
    <n v="0"/>
    <m/>
    <n v="58.9"/>
    <x v="0"/>
  </r>
  <r>
    <s v="USR-101181"/>
    <d v="2025-03-22T00:00:00"/>
    <x v="1"/>
    <s v="South"/>
    <x v="0"/>
    <s v="Paid Search"/>
    <s v="Free"/>
    <n v="1"/>
    <n v="0"/>
    <n v="0"/>
    <n v="0"/>
    <n v="0"/>
    <x v="0"/>
    <n v="0"/>
    <m/>
    <n v="56.8"/>
    <x v="0"/>
  </r>
  <r>
    <s v="USR-101182"/>
    <d v="2025-02-02T00:00:00"/>
    <x v="1"/>
    <s v="East"/>
    <x v="2"/>
    <s v="Social"/>
    <s v="Premium"/>
    <n v="0"/>
    <n v="0"/>
    <n v="0"/>
    <n v="0"/>
    <n v="0"/>
    <x v="0"/>
    <n v="0"/>
    <m/>
    <n v="73.900000000000006"/>
    <x v="0"/>
  </r>
  <r>
    <s v="USR-101183"/>
    <d v="2025-01-31T00:00:00"/>
    <x v="1"/>
    <s v="North"/>
    <x v="0"/>
    <s v="Paid Search"/>
    <s v="Free"/>
    <n v="0"/>
    <n v="0"/>
    <n v="0"/>
    <n v="0"/>
    <n v="0"/>
    <x v="0"/>
    <n v="0"/>
    <m/>
    <n v="76.3"/>
    <x v="0"/>
  </r>
  <r>
    <s v="USR-101184"/>
    <d v="2025-05-27T00:00:00"/>
    <x v="1"/>
    <s v="West"/>
    <x v="1"/>
    <s v="Organic"/>
    <s v="Basic"/>
    <n v="1"/>
    <n v="0"/>
    <n v="0"/>
    <n v="0"/>
    <n v="0"/>
    <x v="0"/>
    <n v="0"/>
    <m/>
    <n v="56.9"/>
    <x v="0"/>
  </r>
  <r>
    <s v="USR-101185"/>
    <d v="2025-05-07T00:00:00"/>
    <x v="1"/>
    <s v="North"/>
    <x v="1"/>
    <s v="Organic"/>
    <s v="Premium"/>
    <n v="1"/>
    <n v="0"/>
    <n v="0"/>
    <n v="0"/>
    <n v="0"/>
    <x v="2"/>
    <n v="0"/>
    <m/>
    <n v="49.4"/>
    <x v="0"/>
  </r>
  <r>
    <s v="USR-101186"/>
    <d v="2025-05-08T00:00:00"/>
    <x v="1"/>
    <s v="North"/>
    <x v="0"/>
    <s v="Paid Search"/>
    <s v="Basic"/>
    <n v="1"/>
    <n v="0"/>
    <n v="0"/>
    <n v="0"/>
    <n v="0"/>
    <x v="0"/>
    <n v="0"/>
    <m/>
    <n v="86.7"/>
    <x v="0"/>
  </r>
  <r>
    <s v="USR-101187"/>
    <d v="2025-01-15T00:00:00"/>
    <x v="1"/>
    <s v="West"/>
    <x v="0"/>
    <s v="Email"/>
    <s v="Free"/>
    <n v="1"/>
    <n v="0"/>
    <n v="0"/>
    <n v="0"/>
    <n v="0"/>
    <x v="3"/>
    <n v="0"/>
    <m/>
    <n v="69"/>
    <x v="0"/>
  </r>
  <r>
    <s v="USR-101188"/>
    <d v="2025-01-18T00:00:00"/>
    <x v="1"/>
    <s v="North"/>
    <x v="1"/>
    <s v="Paid Search"/>
    <s v="Free"/>
    <n v="0"/>
    <n v="0"/>
    <n v="0"/>
    <n v="0"/>
    <n v="0"/>
    <x v="0"/>
    <n v="0"/>
    <m/>
    <n v="84.5"/>
    <x v="0"/>
  </r>
  <r>
    <s v="USR-101189"/>
    <d v="2025-04-16T00:00:00"/>
    <x v="1"/>
    <s v="East"/>
    <x v="3"/>
    <s v="Referral"/>
    <s v="Free"/>
    <n v="1"/>
    <n v="0"/>
    <n v="0"/>
    <n v="0"/>
    <n v="0"/>
    <x v="0"/>
    <n v="0"/>
    <m/>
    <n v="66.3"/>
    <x v="0"/>
  </r>
  <r>
    <s v="USR-101190"/>
    <d v="2025-02-16T00:00:00"/>
    <x v="1"/>
    <s v="East"/>
    <x v="0"/>
    <s v="Paid Search"/>
    <s v="Free"/>
    <n v="0"/>
    <n v="0"/>
    <n v="0"/>
    <n v="0"/>
    <n v="0"/>
    <x v="0"/>
    <n v="0"/>
    <m/>
    <n v="52.2"/>
    <x v="0"/>
  </r>
  <r>
    <s v="USR-101191"/>
    <d v="2025-04-17T00:00:00"/>
    <x v="1"/>
    <s v="South"/>
    <x v="0"/>
    <s v="Referral"/>
    <s v="Premium"/>
    <n v="1"/>
    <n v="1"/>
    <n v="1"/>
    <n v="0"/>
    <n v="0"/>
    <x v="0"/>
    <n v="0"/>
    <m/>
    <n v="81.2"/>
    <x v="0"/>
  </r>
  <r>
    <s v="USR-101192"/>
    <d v="2025-04-30T00:00:00"/>
    <x v="1"/>
    <s v="South"/>
    <x v="1"/>
    <s v="Organic"/>
    <s v="Basic"/>
    <n v="0"/>
    <n v="0"/>
    <n v="0"/>
    <n v="0"/>
    <n v="0"/>
    <x v="0"/>
    <n v="0"/>
    <m/>
    <n v="53.9"/>
    <x v="0"/>
  </r>
  <r>
    <s v="USR-101193"/>
    <d v="2025-01-29T00:00:00"/>
    <x v="1"/>
    <s v="West"/>
    <x v="1"/>
    <s v="Social"/>
    <s v="Premium"/>
    <n v="0"/>
    <n v="0"/>
    <n v="0"/>
    <n v="0"/>
    <n v="0"/>
    <x v="0"/>
    <n v="0"/>
    <m/>
    <n v="39.1"/>
    <x v="0"/>
  </r>
  <r>
    <s v="USR-101194"/>
    <d v="2025-01-11T00:00:00"/>
    <x v="1"/>
    <s v="North"/>
    <x v="1"/>
    <s v="Social"/>
    <s v="Basic"/>
    <n v="0"/>
    <n v="0"/>
    <n v="0"/>
    <n v="0"/>
    <n v="0"/>
    <x v="0"/>
    <n v="0"/>
    <m/>
    <n v="57.3"/>
    <x v="0"/>
  </r>
  <r>
    <s v="USR-101195"/>
    <d v="2025-04-08T00:00:00"/>
    <x v="1"/>
    <s v="East"/>
    <x v="0"/>
    <s v="Paid Search"/>
    <s v="Premium"/>
    <n v="1"/>
    <n v="0"/>
    <n v="0"/>
    <n v="0"/>
    <n v="0"/>
    <x v="1"/>
    <n v="0"/>
    <m/>
    <n v="65.900000000000006"/>
    <x v="0"/>
  </r>
  <r>
    <s v="USR-101196"/>
    <d v="2025-02-22T00:00:00"/>
    <x v="1"/>
    <s v="North"/>
    <x v="3"/>
    <s v="Social"/>
    <s v="Free"/>
    <n v="1"/>
    <n v="0"/>
    <n v="0"/>
    <n v="0"/>
    <n v="0"/>
    <x v="1"/>
    <n v="0"/>
    <m/>
    <n v="34.200000000000003"/>
    <x v="0"/>
  </r>
  <r>
    <s v="USR-101197"/>
    <d v="2025-03-23T00:00:00"/>
    <x v="1"/>
    <s v="South"/>
    <x v="1"/>
    <s v="Organic"/>
    <s v="Free"/>
    <n v="0"/>
    <n v="0"/>
    <n v="0"/>
    <n v="0"/>
    <n v="0"/>
    <x v="0"/>
    <n v="0"/>
    <m/>
    <n v="47.2"/>
    <x v="0"/>
  </r>
  <r>
    <s v="USR-101198"/>
    <d v="2025-05-23T00:00:00"/>
    <x v="1"/>
    <s v="South"/>
    <x v="2"/>
    <s v="Paid Search"/>
    <s v="Free"/>
    <n v="1"/>
    <n v="0"/>
    <n v="0"/>
    <n v="0"/>
    <n v="0"/>
    <x v="1"/>
    <n v="0"/>
    <m/>
    <n v="55"/>
    <x v="0"/>
  </r>
  <r>
    <s v="USR-101199"/>
    <d v="2025-04-27T00:00:00"/>
    <x v="1"/>
    <s v="West"/>
    <x v="1"/>
    <s v="Referral"/>
    <s v="Basic"/>
    <n v="1"/>
    <n v="1"/>
    <n v="1"/>
    <n v="0"/>
    <n v="0"/>
    <x v="0"/>
    <n v="0"/>
    <m/>
    <n v="76.400000000000006"/>
    <x v="0"/>
  </r>
  <r>
    <s v="USR-101200"/>
    <d v="2025-05-26T00:00:00"/>
    <x v="1"/>
    <s v="North"/>
    <x v="1"/>
    <s v="Referral"/>
    <s v="Free"/>
    <n v="1"/>
    <n v="0"/>
    <n v="0"/>
    <n v="0"/>
    <n v="0"/>
    <x v="0"/>
    <n v="0"/>
    <m/>
    <n v="70.8"/>
    <x v="0"/>
  </r>
  <r>
    <s v="USR-101201"/>
    <d v="2025-03-06T00:00:00"/>
    <x v="1"/>
    <s v="East"/>
    <x v="1"/>
    <s v="Paid Search"/>
    <s v="Basic"/>
    <n v="1"/>
    <n v="1"/>
    <n v="0"/>
    <n v="0"/>
    <n v="0"/>
    <x v="1"/>
    <n v="0"/>
    <m/>
    <n v="58"/>
    <x v="0"/>
  </r>
  <r>
    <s v="USR-101202"/>
    <d v="2025-04-03T00:00:00"/>
    <x v="1"/>
    <s v="West"/>
    <x v="1"/>
    <s v="Organic"/>
    <s v="Basic"/>
    <n v="1"/>
    <n v="1"/>
    <n v="1"/>
    <n v="0"/>
    <n v="0"/>
    <x v="1"/>
    <n v="0"/>
    <m/>
    <n v="70.8"/>
    <x v="0"/>
  </r>
  <r>
    <s v="USR-101203"/>
    <d v="2025-02-01T00:00:00"/>
    <x v="1"/>
    <s v="East"/>
    <x v="0"/>
    <s v="Paid Search"/>
    <s v="Free"/>
    <n v="1"/>
    <n v="0"/>
    <n v="0"/>
    <n v="0"/>
    <n v="0"/>
    <x v="3"/>
    <n v="0"/>
    <m/>
    <n v="60"/>
    <x v="0"/>
  </r>
  <r>
    <s v="USR-101204"/>
    <d v="2025-05-01T00:00:00"/>
    <x v="1"/>
    <s v="West"/>
    <x v="1"/>
    <s v="Referral"/>
    <s v="Premium"/>
    <n v="1"/>
    <n v="1"/>
    <n v="1"/>
    <n v="0"/>
    <n v="0"/>
    <x v="3"/>
    <n v="0"/>
    <m/>
    <n v="58.1"/>
    <x v="0"/>
  </r>
  <r>
    <s v="USR-101205"/>
    <d v="2025-04-13T00:00:00"/>
    <x v="1"/>
    <s v="North"/>
    <x v="1"/>
    <s v="Social"/>
    <s v="Premium"/>
    <n v="0"/>
    <n v="0"/>
    <n v="0"/>
    <n v="0"/>
    <n v="0"/>
    <x v="0"/>
    <n v="0"/>
    <m/>
    <n v="59.7"/>
    <x v="0"/>
  </r>
  <r>
    <s v="USR-101206"/>
    <d v="2025-01-25T00:00:00"/>
    <x v="1"/>
    <s v="East"/>
    <x v="1"/>
    <s v="Social"/>
    <s v="Free"/>
    <n v="0"/>
    <n v="0"/>
    <n v="0"/>
    <n v="0"/>
    <n v="0"/>
    <x v="0"/>
    <n v="0"/>
    <m/>
    <n v="47.7"/>
    <x v="0"/>
  </r>
  <r>
    <s v="USR-101207"/>
    <d v="2025-03-17T00:00:00"/>
    <x v="1"/>
    <s v="North"/>
    <x v="1"/>
    <s v="Organic"/>
    <s v="Free"/>
    <n v="0"/>
    <n v="0"/>
    <n v="0"/>
    <n v="0"/>
    <n v="0"/>
    <x v="0"/>
    <n v="0"/>
    <m/>
    <n v="59.1"/>
    <x v="0"/>
  </r>
  <r>
    <s v="USR-101208"/>
    <d v="2025-02-21T00:00:00"/>
    <x v="1"/>
    <s v="West"/>
    <x v="0"/>
    <s v="Social"/>
    <s v="Basic"/>
    <n v="1"/>
    <n v="0"/>
    <n v="0"/>
    <n v="0"/>
    <n v="0"/>
    <x v="1"/>
    <n v="0"/>
    <m/>
    <n v="68.7"/>
    <x v="0"/>
  </r>
  <r>
    <s v="USR-101209"/>
    <d v="2025-04-08T00:00:00"/>
    <x v="1"/>
    <s v="East"/>
    <x v="2"/>
    <s v="Organic"/>
    <s v="Basic"/>
    <n v="0"/>
    <n v="0"/>
    <n v="0"/>
    <n v="0"/>
    <n v="0"/>
    <x v="0"/>
    <n v="0"/>
    <m/>
    <n v="34.700000000000003"/>
    <x v="0"/>
  </r>
  <r>
    <s v="USR-101059"/>
    <d v="2025-05-16T00:00:00"/>
    <x v="1"/>
    <s v="South"/>
    <x v="1"/>
    <s v="Organic"/>
    <s v="Free"/>
    <n v="1"/>
    <n v="0"/>
    <n v="0"/>
    <n v="0"/>
    <n v="0"/>
    <x v="0"/>
    <n v="0"/>
    <m/>
    <n v="70.3"/>
    <x v="0"/>
  </r>
  <r>
    <s v="USR-101211"/>
    <d v="2025-05-29T00:00:00"/>
    <x v="1"/>
    <s v="South"/>
    <x v="1"/>
    <s v="Organic"/>
    <s v="Free"/>
    <n v="1"/>
    <n v="1"/>
    <n v="0"/>
    <n v="0"/>
    <n v="0"/>
    <x v="0"/>
    <n v="0"/>
    <m/>
    <n v="56"/>
    <x v="0"/>
  </r>
  <r>
    <s v="USR-101212"/>
    <d v="2025-05-30T00:00:00"/>
    <x v="1"/>
    <s v="North"/>
    <x v="1"/>
    <s v="Email"/>
    <s v="Basic"/>
    <n v="1"/>
    <n v="0"/>
    <n v="0"/>
    <n v="0"/>
    <n v="0"/>
    <x v="1"/>
    <n v="0"/>
    <m/>
    <n v="65.8"/>
    <x v="0"/>
  </r>
  <r>
    <s v="USR-101213"/>
    <d v="2025-01-24T00:00:00"/>
    <x v="1"/>
    <s v="North"/>
    <x v="0"/>
    <s v="Organic"/>
    <s v="Premium"/>
    <n v="0"/>
    <n v="0"/>
    <n v="0"/>
    <n v="0"/>
    <n v="0"/>
    <x v="0"/>
    <n v="0"/>
    <m/>
    <n v="54.7"/>
    <x v="0"/>
  </r>
  <r>
    <s v="USR-101214"/>
    <d v="2025-05-12T00:00:00"/>
    <x v="1"/>
    <s v="South"/>
    <x v="1"/>
    <s v="Organic"/>
    <s v="Basic"/>
    <n v="1"/>
    <n v="1"/>
    <n v="0"/>
    <n v="0"/>
    <n v="0"/>
    <x v="0"/>
    <n v="0"/>
    <m/>
    <n v="64.099999999999994"/>
    <x v="0"/>
  </r>
  <r>
    <s v="USR-101215"/>
    <d v="2025-03-28T00:00:00"/>
    <x v="1"/>
    <s v="South"/>
    <x v="1"/>
    <s v="Organic"/>
    <s v="Basic"/>
    <n v="1"/>
    <n v="1"/>
    <n v="1"/>
    <n v="0"/>
    <n v="0"/>
    <x v="0"/>
    <n v="0"/>
    <m/>
    <n v="71.599999999999994"/>
    <x v="0"/>
  </r>
  <r>
    <s v="USR-101216"/>
    <d v="2025-04-14T00:00:00"/>
    <x v="1"/>
    <s v="North"/>
    <x v="1"/>
    <s v="Referral"/>
    <s v="Basic"/>
    <n v="1"/>
    <n v="0"/>
    <n v="0"/>
    <n v="0"/>
    <n v="0"/>
    <x v="0"/>
    <n v="0"/>
    <m/>
    <n v="78.400000000000006"/>
    <x v="0"/>
  </r>
  <r>
    <s v="USR-101217"/>
    <d v="2025-01-28T00:00:00"/>
    <x v="1"/>
    <s v="East"/>
    <x v="2"/>
    <s v="Referral"/>
    <s v="Basic"/>
    <n v="0"/>
    <n v="0"/>
    <n v="0"/>
    <n v="0"/>
    <n v="0"/>
    <x v="0"/>
    <n v="0"/>
    <m/>
    <n v="49.3"/>
    <x v="0"/>
  </r>
  <r>
    <s v="USR-101218"/>
    <d v="2025-05-21T00:00:00"/>
    <x v="1"/>
    <s v="North"/>
    <x v="1"/>
    <s v="Organic"/>
    <s v="Basic"/>
    <n v="0"/>
    <n v="0"/>
    <n v="0"/>
    <n v="0"/>
    <n v="0"/>
    <x v="0"/>
    <n v="0"/>
    <m/>
    <n v="52.8"/>
    <x v="0"/>
  </r>
  <r>
    <s v="USR-101219"/>
    <d v="2025-05-11T00:00:00"/>
    <x v="1"/>
    <s v="West"/>
    <x v="0"/>
    <s v="Organic"/>
    <s v="Free"/>
    <n v="0"/>
    <n v="0"/>
    <n v="0"/>
    <n v="0"/>
    <n v="0"/>
    <x v="0"/>
    <n v="0"/>
    <m/>
    <n v="58.5"/>
    <x v="0"/>
  </r>
  <r>
    <s v="USR-101220"/>
    <d v="2025-02-02T00:00:00"/>
    <x v="1"/>
    <s v="South"/>
    <x v="1"/>
    <s v="Paid Search"/>
    <s v="Free"/>
    <n v="1"/>
    <n v="0"/>
    <n v="0"/>
    <n v="0"/>
    <n v="0"/>
    <x v="0"/>
    <n v="0"/>
    <m/>
    <n v="55.9"/>
    <x v="0"/>
  </r>
  <r>
    <s v="USR-101221"/>
    <d v="2025-02-26T00:00:00"/>
    <x v="1"/>
    <s v="North"/>
    <x v="1"/>
    <s v="Social"/>
    <s v="Free"/>
    <n v="1"/>
    <n v="1"/>
    <n v="1"/>
    <n v="1"/>
    <n v="351.43"/>
    <x v="1"/>
    <n v="0"/>
    <n v="6"/>
    <n v="74.900000000000006"/>
    <x v="0"/>
  </r>
  <r>
    <s v="USR-101222"/>
    <d v="2025-02-27T00:00:00"/>
    <x v="1"/>
    <s v="South"/>
    <x v="0"/>
    <s v="Referral"/>
    <s v="Free"/>
    <n v="1"/>
    <n v="1"/>
    <n v="1"/>
    <n v="1"/>
    <n v="352.42"/>
    <x v="0"/>
    <n v="0"/>
    <n v="4"/>
    <n v="58.5"/>
    <x v="0"/>
  </r>
  <r>
    <s v="USR-101223"/>
    <d v="2025-03-09T00:00:00"/>
    <x v="1"/>
    <s v="West"/>
    <x v="1"/>
    <s v="Organic"/>
    <s v="Free"/>
    <n v="0"/>
    <n v="0"/>
    <n v="0"/>
    <n v="0"/>
    <n v="0"/>
    <x v="0"/>
    <n v="0"/>
    <m/>
    <n v="63.5"/>
    <x v="0"/>
  </r>
  <r>
    <s v="USR-101224"/>
    <d v="2025-02-07T00:00:00"/>
    <x v="1"/>
    <s v="North"/>
    <x v="1"/>
    <s v="Paid Search"/>
    <s v="Basic"/>
    <n v="1"/>
    <n v="0"/>
    <n v="0"/>
    <n v="0"/>
    <n v="0"/>
    <x v="1"/>
    <n v="0"/>
    <m/>
    <n v="64.8"/>
    <x v="0"/>
  </r>
  <r>
    <s v="USR-101225"/>
    <d v="2025-01-31T00:00:00"/>
    <x v="1"/>
    <s v="West"/>
    <x v="1"/>
    <s v="Social"/>
    <s v="Free"/>
    <n v="0"/>
    <n v="0"/>
    <n v="0"/>
    <n v="0"/>
    <n v="0"/>
    <x v="0"/>
    <n v="0"/>
    <m/>
    <n v="63.3"/>
    <x v="0"/>
  </r>
  <r>
    <s v="USR-101226"/>
    <d v="2025-02-14T00:00:00"/>
    <x v="1"/>
    <s v="North"/>
    <x v="2"/>
    <s v="Paid Search"/>
    <s v="Basic"/>
    <n v="1"/>
    <n v="1"/>
    <n v="1"/>
    <n v="1"/>
    <n v="1074.1600000000001"/>
    <x v="0"/>
    <n v="0"/>
    <n v="8"/>
    <n v="83.7"/>
    <x v="0"/>
  </r>
  <r>
    <s v="USR-101227"/>
    <d v="2025-02-12T00:00:00"/>
    <x v="1"/>
    <s v="South"/>
    <x v="0"/>
    <s v="Social"/>
    <s v="Basic"/>
    <n v="0"/>
    <n v="0"/>
    <n v="0"/>
    <n v="0"/>
    <n v="0"/>
    <x v="0"/>
    <n v="0"/>
    <m/>
    <n v="88.7"/>
    <x v="0"/>
  </r>
  <r>
    <s v="USR-101228"/>
    <d v="2025-03-23T00:00:00"/>
    <x v="1"/>
    <s v="East"/>
    <x v="3"/>
    <s v="Paid Search"/>
    <s v="Free"/>
    <n v="1"/>
    <n v="0"/>
    <n v="0"/>
    <n v="0"/>
    <n v="0"/>
    <x v="1"/>
    <n v="0"/>
    <m/>
    <n v="61.5"/>
    <x v="0"/>
  </r>
  <r>
    <s v="USR-101229"/>
    <d v="2025-03-18T00:00:00"/>
    <x v="1"/>
    <s v="West"/>
    <x v="1"/>
    <s v="Paid Search"/>
    <s v="Free"/>
    <n v="0"/>
    <n v="0"/>
    <n v="0"/>
    <n v="0"/>
    <n v="0"/>
    <x v="0"/>
    <n v="0"/>
    <m/>
    <n v="45.3"/>
    <x v="0"/>
  </r>
  <r>
    <s v="USR-101230"/>
    <d v="2025-05-17T00:00:00"/>
    <x v="1"/>
    <s v="North"/>
    <x v="1"/>
    <s v="Social"/>
    <s v="Free"/>
    <n v="1"/>
    <n v="0"/>
    <n v="0"/>
    <n v="0"/>
    <n v="0"/>
    <x v="0"/>
    <n v="0"/>
    <m/>
    <n v="37.299999999999997"/>
    <x v="0"/>
  </r>
  <r>
    <s v="USR-101231"/>
    <d v="2025-03-26T00:00:00"/>
    <x v="1"/>
    <s v="West"/>
    <x v="0"/>
    <s v="Social"/>
    <s v="Premium"/>
    <n v="1"/>
    <n v="0"/>
    <n v="0"/>
    <n v="0"/>
    <n v="0"/>
    <x v="1"/>
    <n v="0"/>
    <m/>
    <n v="76.099999999999994"/>
    <x v="0"/>
  </r>
  <r>
    <s v="USR-101059"/>
    <d v="2025-05-16T00:00:00"/>
    <x v="1"/>
    <s v="South"/>
    <x v="1"/>
    <s v="Organic"/>
    <s v="Free"/>
    <n v="1"/>
    <n v="0"/>
    <n v="0"/>
    <n v="0"/>
    <n v="0"/>
    <x v="0"/>
    <n v="0"/>
    <m/>
    <n v="70.3"/>
    <x v="1"/>
  </r>
  <r>
    <s v="USR-101233"/>
    <d v="2025-02-25T00:00:00"/>
    <x v="1"/>
    <s v="East"/>
    <x v="0"/>
    <s v="Organic"/>
    <s v="Free"/>
    <n v="1"/>
    <n v="0"/>
    <n v="0"/>
    <n v="0"/>
    <n v="0"/>
    <x v="0"/>
    <n v="0"/>
    <m/>
    <n v="62.3"/>
    <x v="0"/>
  </r>
  <r>
    <s v="USR-101234"/>
    <d v="2025-03-01T00:00:00"/>
    <x v="1"/>
    <s v="East"/>
    <x v="0"/>
    <s v="Social"/>
    <s v="Free"/>
    <n v="0"/>
    <n v="0"/>
    <n v="0"/>
    <n v="0"/>
    <n v="0"/>
    <x v="0"/>
    <n v="0"/>
    <m/>
    <n v="62.7"/>
    <x v="0"/>
  </r>
  <r>
    <s v="USR-101235"/>
    <d v="2025-05-27T00:00:00"/>
    <x v="1"/>
    <s v="North"/>
    <x v="1"/>
    <s v="Paid Search"/>
    <s v="Basic"/>
    <n v="0"/>
    <n v="0"/>
    <n v="0"/>
    <n v="0"/>
    <n v="0"/>
    <x v="0"/>
    <n v="0"/>
    <m/>
    <n v="82.4"/>
    <x v="0"/>
  </r>
  <r>
    <s v="USR-101236"/>
    <d v="2025-02-05T00:00:00"/>
    <x v="1"/>
    <s v="West"/>
    <x v="1"/>
    <m/>
    <s v="Premium"/>
    <n v="1"/>
    <n v="0"/>
    <n v="0"/>
    <n v="0"/>
    <n v="0"/>
    <x v="0"/>
    <n v="0"/>
    <m/>
    <n v="78.900000000000006"/>
    <x v="0"/>
  </r>
  <r>
    <s v="USR-101237"/>
    <d v="2025-01-25T00:00:00"/>
    <x v="1"/>
    <s v="West"/>
    <x v="0"/>
    <s v="Email"/>
    <s v="Free"/>
    <n v="1"/>
    <n v="1"/>
    <n v="1"/>
    <n v="1"/>
    <n v="618.91"/>
    <x v="0"/>
    <n v="0"/>
    <n v="4"/>
    <n v="67.8"/>
    <x v="0"/>
  </r>
  <r>
    <s v="USR-101238"/>
    <d v="2025-04-10T00:00:00"/>
    <x v="1"/>
    <s v="East"/>
    <x v="1"/>
    <s v="Organic"/>
    <s v="Premium"/>
    <n v="1"/>
    <n v="0"/>
    <n v="0"/>
    <n v="0"/>
    <n v="0"/>
    <x v="0"/>
    <n v="0"/>
    <m/>
    <n v="68.8"/>
    <x v="0"/>
  </r>
  <r>
    <s v="USR-101239"/>
    <d v="2025-01-10T00:00:00"/>
    <x v="1"/>
    <s v="East"/>
    <x v="1"/>
    <s v="Organic"/>
    <s v="Premium"/>
    <n v="1"/>
    <n v="0"/>
    <n v="0"/>
    <n v="0"/>
    <n v="0"/>
    <x v="0"/>
    <n v="0"/>
    <m/>
    <n v="67.7"/>
    <x v="0"/>
  </r>
  <r>
    <s v="USR-101240"/>
    <d v="2025-02-23T00:00:00"/>
    <x v="1"/>
    <s v="East"/>
    <x v="1"/>
    <m/>
    <s v="Free"/>
    <n v="0"/>
    <n v="0"/>
    <n v="0"/>
    <n v="0"/>
    <n v="0"/>
    <x v="0"/>
    <n v="0"/>
    <m/>
    <n v="88"/>
    <x v="0"/>
  </r>
  <r>
    <s v="USR-101241"/>
    <d v="2025-05-23T00:00:00"/>
    <x v="1"/>
    <s v="West"/>
    <x v="0"/>
    <s v="Organic"/>
    <s v="Basic"/>
    <n v="1"/>
    <n v="1"/>
    <n v="0"/>
    <n v="0"/>
    <n v="0"/>
    <x v="0"/>
    <n v="0"/>
    <m/>
    <n v="80.099999999999994"/>
    <x v="0"/>
  </r>
  <r>
    <s v="USR-101242"/>
    <d v="2025-03-08T00:00:00"/>
    <x v="1"/>
    <s v="North"/>
    <x v="2"/>
    <s v="Email"/>
    <s v="Basic"/>
    <n v="0"/>
    <n v="0"/>
    <n v="0"/>
    <n v="0"/>
    <n v="0"/>
    <x v="1"/>
    <n v="0"/>
    <m/>
    <n v="48.2"/>
    <x v="0"/>
  </r>
  <r>
    <s v="USR-101243"/>
    <d v="2025-05-21T00:00:00"/>
    <x v="1"/>
    <s v="East"/>
    <x v="1"/>
    <s v="Organic"/>
    <s v="Basic"/>
    <n v="1"/>
    <n v="0"/>
    <n v="0"/>
    <n v="0"/>
    <n v="0"/>
    <x v="0"/>
    <n v="0"/>
    <m/>
    <n v="52.7"/>
    <x v="0"/>
  </r>
  <r>
    <s v="USR-101244"/>
    <d v="2025-04-22T00:00:00"/>
    <x v="1"/>
    <s v="North"/>
    <x v="1"/>
    <s v="Email"/>
    <s v="Basic"/>
    <n v="1"/>
    <n v="1"/>
    <n v="0"/>
    <n v="0"/>
    <n v="0"/>
    <x v="0"/>
    <n v="0"/>
    <m/>
    <n v="59.9"/>
    <x v="0"/>
  </r>
  <r>
    <s v="USR-101245"/>
    <d v="2025-04-16T00:00:00"/>
    <x v="1"/>
    <s v="North"/>
    <x v="1"/>
    <s v="Email"/>
    <s v="Premium"/>
    <n v="1"/>
    <n v="0"/>
    <n v="0"/>
    <n v="0"/>
    <n v="0"/>
    <x v="0"/>
    <n v="0"/>
    <m/>
    <n v="49.5"/>
    <x v="0"/>
  </r>
  <r>
    <s v="USR-101246"/>
    <d v="2025-05-08T00:00:00"/>
    <x v="1"/>
    <s v="North"/>
    <x v="2"/>
    <s v="Organic"/>
    <s v="Free"/>
    <n v="1"/>
    <n v="0"/>
    <n v="0"/>
    <n v="0"/>
    <n v="0"/>
    <x v="0"/>
    <n v="0"/>
    <m/>
    <n v="41.5"/>
    <x v="0"/>
  </r>
  <r>
    <s v="USR-101247"/>
    <d v="2025-05-22T00:00:00"/>
    <x v="1"/>
    <s v="North"/>
    <x v="1"/>
    <s v="Paid Search"/>
    <s v="Basic"/>
    <n v="1"/>
    <n v="0"/>
    <n v="0"/>
    <n v="0"/>
    <n v="0"/>
    <x v="0"/>
    <n v="0"/>
    <m/>
    <n v="71.2"/>
    <x v="0"/>
  </r>
  <r>
    <s v="USR-101248"/>
    <d v="2025-03-21T00:00:00"/>
    <x v="1"/>
    <s v="North"/>
    <x v="1"/>
    <s v="Referral"/>
    <s v="Basic"/>
    <n v="1"/>
    <n v="1"/>
    <n v="1"/>
    <n v="0"/>
    <n v="0"/>
    <x v="0"/>
    <n v="0"/>
    <m/>
    <n v="65.8"/>
    <x v="0"/>
  </r>
  <r>
    <s v="USR-101249"/>
    <d v="2025-03-22T00:00:00"/>
    <x v="1"/>
    <s v="East"/>
    <x v="1"/>
    <s v="Organic"/>
    <s v="Basic"/>
    <n v="1"/>
    <n v="0"/>
    <n v="0"/>
    <n v="0"/>
    <n v="0"/>
    <x v="1"/>
    <n v="0"/>
    <m/>
    <n v="55.1"/>
    <x v="0"/>
  </r>
  <r>
    <s v="USR-101250"/>
    <d v="2025-01-10T00:00:00"/>
    <x v="1"/>
    <s v="West"/>
    <x v="0"/>
    <s v="Social"/>
    <s v="Free"/>
    <n v="1"/>
    <n v="0"/>
    <n v="0"/>
    <n v="0"/>
    <n v="0"/>
    <x v="0"/>
    <n v="0"/>
    <m/>
    <n v="54.6"/>
    <x v="0"/>
  </r>
  <r>
    <s v="USR-101251"/>
    <d v="2025-02-01T00:00:00"/>
    <x v="1"/>
    <s v="East"/>
    <x v="1"/>
    <s v="Organic"/>
    <s v="Basic"/>
    <n v="1"/>
    <n v="1"/>
    <n v="1"/>
    <n v="1"/>
    <n v="923.67"/>
    <x v="0"/>
    <n v="0"/>
    <n v="4"/>
    <n v="81.900000000000006"/>
    <x v="0"/>
  </r>
  <r>
    <s v="USR-101252"/>
    <d v="2025-03-31T00:00:00"/>
    <x v="1"/>
    <s v="South"/>
    <x v="1"/>
    <s v="Paid Search"/>
    <s v="Basic"/>
    <n v="1"/>
    <n v="1"/>
    <n v="0"/>
    <n v="0"/>
    <n v="0"/>
    <x v="3"/>
    <n v="0"/>
    <m/>
    <n v="63.2"/>
    <x v="0"/>
  </r>
  <r>
    <s v="USR-101253"/>
    <d v="2025-04-25T00:00:00"/>
    <x v="1"/>
    <s v="North"/>
    <x v="1"/>
    <s v="Paid Search"/>
    <s v="Free"/>
    <n v="1"/>
    <n v="0"/>
    <n v="0"/>
    <n v="0"/>
    <n v="0"/>
    <x v="0"/>
    <n v="0"/>
    <m/>
    <n v="55.4"/>
    <x v="0"/>
  </r>
  <r>
    <s v="USR-101254"/>
    <d v="2025-05-02T00:00:00"/>
    <x v="1"/>
    <s v="West"/>
    <x v="1"/>
    <s v="Social"/>
    <s v="Basic"/>
    <n v="0"/>
    <n v="0"/>
    <n v="0"/>
    <n v="0"/>
    <n v="0"/>
    <x v="0"/>
    <n v="0"/>
    <m/>
    <n v="87.5"/>
    <x v="0"/>
  </r>
  <r>
    <s v="USR-101255"/>
    <d v="2025-03-08T00:00:00"/>
    <x v="1"/>
    <s v="South"/>
    <x v="0"/>
    <s v="Social"/>
    <s v="Basic"/>
    <n v="1"/>
    <n v="0"/>
    <n v="0"/>
    <n v="0"/>
    <n v="0"/>
    <x v="0"/>
    <n v="0"/>
    <m/>
    <n v="48.5"/>
    <x v="0"/>
  </r>
  <r>
    <s v="USR-101256"/>
    <d v="2025-01-27T00:00:00"/>
    <x v="1"/>
    <s v="East"/>
    <x v="0"/>
    <m/>
    <s v="Free"/>
    <n v="1"/>
    <n v="1"/>
    <n v="1"/>
    <n v="1"/>
    <n v="420.27"/>
    <x v="0"/>
    <n v="0"/>
    <n v="6"/>
    <n v="58.4"/>
    <x v="0"/>
  </r>
  <r>
    <s v="USR-101257"/>
    <d v="2025-04-27T00:00:00"/>
    <x v="1"/>
    <s v="West"/>
    <x v="1"/>
    <s v="Paid Search"/>
    <s v="Free"/>
    <n v="0"/>
    <n v="0"/>
    <n v="0"/>
    <n v="0"/>
    <n v="0"/>
    <x v="0"/>
    <n v="0"/>
    <m/>
    <n v="59.5"/>
    <x v="0"/>
  </r>
  <r>
    <s v="USR-101258"/>
    <d v="2025-01-16T00:00:00"/>
    <x v="1"/>
    <s v="West"/>
    <x v="0"/>
    <s v="Paid Search"/>
    <s v="Basic"/>
    <n v="1"/>
    <n v="0"/>
    <n v="0"/>
    <n v="0"/>
    <n v="0"/>
    <x v="0"/>
    <n v="0"/>
    <m/>
    <n v="93.2"/>
    <x v="0"/>
  </r>
  <r>
    <s v="USR-101259"/>
    <d v="2025-01-18T00:00:00"/>
    <x v="1"/>
    <s v="West"/>
    <x v="0"/>
    <s v="Paid Search"/>
    <s v="Basic"/>
    <n v="1"/>
    <n v="0"/>
    <n v="0"/>
    <n v="0"/>
    <n v="0"/>
    <x v="0"/>
    <n v="0"/>
    <m/>
    <n v="59"/>
    <x v="0"/>
  </r>
  <r>
    <s v="USR-101260"/>
    <d v="2025-03-21T00:00:00"/>
    <x v="1"/>
    <s v="North"/>
    <x v="1"/>
    <s v="Organic"/>
    <s v="Free"/>
    <n v="1"/>
    <n v="0"/>
    <n v="0"/>
    <n v="0"/>
    <n v="0"/>
    <x v="0"/>
    <n v="0"/>
    <m/>
    <n v="37"/>
    <x v="0"/>
  </r>
  <r>
    <s v="USR-101261"/>
    <d v="2025-04-02T00:00:00"/>
    <x v="1"/>
    <s v="North"/>
    <x v="0"/>
    <s v="Paid Search"/>
    <s v="Free"/>
    <n v="1"/>
    <n v="0"/>
    <n v="0"/>
    <n v="0"/>
    <n v="0"/>
    <x v="0"/>
    <n v="0"/>
    <m/>
    <n v="47.5"/>
    <x v="0"/>
  </r>
  <r>
    <s v="USR-101262"/>
    <d v="2025-02-16T00:00:00"/>
    <x v="1"/>
    <s v="West"/>
    <x v="0"/>
    <s v="Organic"/>
    <s v="Free"/>
    <n v="1"/>
    <n v="1"/>
    <n v="1"/>
    <n v="0"/>
    <n v="0"/>
    <x v="0"/>
    <n v="0"/>
    <m/>
    <n v="78.7"/>
    <x v="0"/>
  </r>
  <r>
    <s v="USR-101263"/>
    <d v="2025-02-18T00:00:00"/>
    <x v="1"/>
    <s v="North"/>
    <x v="1"/>
    <s v="Social"/>
    <s v="Free"/>
    <n v="1"/>
    <n v="0"/>
    <n v="0"/>
    <n v="0"/>
    <n v="0"/>
    <x v="0"/>
    <n v="0"/>
    <m/>
    <n v="49.6"/>
    <x v="0"/>
  </r>
  <r>
    <s v="USR-101264"/>
    <d v="2025-01-09T00:00:00"/>
    <x v="1"/>
    <s v="East"/>
    <x v="1"/>
    <s v="Organic"/>
    <s v="Free"/>
    <n v="1"/>
    <n v="0"/>
    <n v="0"/>
    <n v="0"/>
    <n v="0"/>
    <x v="0"/>
    <n v="0"/>
    <m/>
    <n v="58"/>
    <x v="0"/>
  </r>
  <r>
    <s v="USR-101265"/>
    <d v="2025-02-18T00:00:00"/>
    <x v="1"/>
    <s v="North"/>
    <x v="0"/>
    <s v="Paid Search"/>
    <s v="Free"/>
    <n v="1"/>
    <n v="0"/>
    <n v="0"/>
    <n v="0"/>
    <n v="0"/>
    <x v="1"/>
    <n v="0"/>
    <m/>
    <n v="54.4"/>
    <x v="0"/>
  </r>
  <r>
    <s v="USR-101266"/>
    <d v="2025-01-10T00:00:00"/>
    <x v="1"/>
    <s v="East"/>
    <x v="1"/>
    <s v="Referral"/>
    <s v="Free"/>
    <n v="0"/>
    <n v="0"/>
    <n v="0"/>
    <n v="0"/>
    <n v="0"/>
    <x v="0"/>
    <n v="0"/>
    <m/>
    <n v="33.700000000000003"/>
    <x v="0"/>
  </r>
  <r>
    <s v="USR-101267"/>
    <d v="2025-03-08T00:00:00"/>
    <x v="1"/>
    <s v="West"/>
    <x v="1"/>
    <s v="Email"/>
    <s v="Free"/>
    <n v="1"/>
    <n v="0"/>
    <n v="0"/>
    <n v="0"/>
    <n v="0"/>
    <x v="0"/>
    <n v="0"/>
    <m/>
    <n v="72.7"/>
    <x v="0"/>
  </r>
  <r>
    <s v="USR-101268"/>
    <d v="2025-04-16T00:00:00"/>
    <x v="1"/>
    <s v="East"/>
    <x v="0"/>
    <s v="Paid Search"/>
    <s v="Basic"/>
    <n v="0"/>
    <n v="0"/>
    <n v="0"/>
    <n v="0"/>
    <n v="0"/>
    <x v="0"/>
    <n v="0"/>
    <m/>
    <n v="64.7"/>
    <x v="0"/>
  </r>
  <r>
    <s v="USR-101269"/>
    <d v="2025-02-19T00:00:00"/>
    <x v="1"/>
    <s v="West"/>
    <x v="0"/>
    <s v="Paid Search"/>
    <s v="Premium"/>
    <n v="0"/>
    <n v="0"/>
    <n v="0"/>
    <n v="0"/>
    <n v="0"/>
    <x v="1"/>
    <n v="0"/>
    <m/>
    <n v="48.6"/>
    <x v="0"/>
  </r>
  <r>
    <s v="USR-101270"/>
    <d v="2025-03-16T00:00:00"/>
    <x v="1"/>
    <s v="East"/>
    <x v="0"/>
    <s v="Social"/>
    <s v="Free"/>
    <n v="1"/>
    <n v="1"/>
    <n v="0"/>
    <n v="0"/>
    <n v="0"/>
    <x v="0"/>
    <n v="0"/>
    <m/>
    <n v="66.2"/>
    <x v="0"/>
  </r>
  <r>
    <s v="USR-101271"/>
    <d v="2025-02-03T00:00:00"/>
    <x v="1"/>
    <s v="West"/>
    <x v="3"/>
    <s v="Referral"/>
    <s v="Basic"/>
    <n v="1"/>
    <n v="0"/>
    <n v="0"/>
    <n v="0"/>
    <n v="0"/>
    <x v="1"/>
    <n v="0"/>
    <m/>
    <n v="60.7"/>
    <x v="0"/>
  </r>
  <r>
    <s v="USR-101272"/>
    <d v="2025-03-12T00:00:00"/>
    <x v="1"/>
    <s v="West"/>
    <x v="1"/>
    <s v="Paid Search"/>
    <s v="Basic"/>
    <n v="1"/>
    <n v="0"/>
    <n v="0"/>
    <n v="0"/>
    <n v="0"/>
    <x v="0"/>
    <n v="0"/>
    <m/>
    <n v="36.5"/>
    <x v="0"/>
  </r>
  <r>
    <s v="USR-101273"/>
    <d v="2025-05-09T00:00:00"/>
    <x v="1"/>
    <s v="West"/>
    <x v="1"/>
    <s v="Social"/>
    <s v="Free"/>
    <n v="1"/>
    <n v="1"/>
    <n v="1"/>
    <n v="0"/>
    <n v="0"/>
    <x v="3"/>
    <n v="0"/>
    <m/>
    <n v="69.7"/>
    <x v="0"/>
  </r>
  <r>
    <s v="USR-101274"/>
    <d v="2025-01-19T00:00:00"/>
    <x v="1"/>
    <s v="South"/>
    <x v="0"/>
    <s v="Social"/>
    <s v="Premium"/>
    <n v="1"/>
    <n v="0"/>
    <n v="0"/>
    <n v="0"/>
    <n v="0"/>
    <x v="0"/>
    <n v="0"/>
    <m/>
    <n v="81.8"/>
    <x v="0"/>
  </r>
  <r>
    <s v="USR-101275"/>
    <d v="2025-01-24T00:00:00"/>
    <x v="1"/>
    <s v="West"/>
    <x v="1"/>
    <s v="Referral"/>
    <s v="Free"/>
    <n v="1"/>
    <n v="1"/>
    <n v="1"/>
    <n v="0"/>
    <n v="0"/>
    <x v="1"/>
    <n v="0"/>
    <m/>
    <n v="78.3"/>
    <x v="0"/>
  </r>
  <r>
    <s v="USR-101276"/>
    <d v="2025-03-03T00:00:00"/>
    <x v="1"/>
    <s v="East"/>
    <x v="1"/>
    <s v="Referral"/>
    <s v="Free"/>
    <n v="1"/>
    <n v="1"/>
    <n v="0"/>
    <n v="0"/>
    <n v="0"/>
    <x v="0"/>
    <n v="0"/>
    <m/>
    <n v="79.400000000000006"/>
    <x v="0"/>
  </r>
  <r>
    <s v="USR-101277"/>
    <d v="2025-05-27T00:00:00"/>
    <x v="1"/>
    <s v="North"/>
    <x v="0"/>
    <s v="Referral"/>
    <s v="Free"/>
    <n v="1"/>
    <n v="1"/>
    <n v="1"/>
    <n v="0"/>
    <n v="0"/>
    <x v="0"/>
    <n v="0"/>
    <m/>
    <n v="54.9"/>
    <x v="0"/>
  </r>
  <r>
    <s v="USR-101278"/>
    <d v="2025-04-23T00:00:00"/>
    <x v="1"/>
    <s v="West"/>
    <x v="0"/>
    <s v="Organic"/>
    <s v="Basic"/>
    <n v="1"/>
    <n v="0"/>
    <n v="0"/>
    <n v="0"/>
    <n v="0"/>
    <x v="0"/>
    <n v="0"/>
    <m/>
    <n v="54.9"/>
    <x v="0"/>
  </r>
  <r>
    <s v="USR-101279"/>
    <d v="2025-02-10T00:00:00"/>
    <x v="1"/>
    <s v="East"/>
    <x v="0"/>
    <s v="Social"/>
    <s v="Free"/>
    <n v="0"/>
    <n v="0"/>
    <n v="0"/>
    <n v="0"/>
    <n v="0"/>
    <x v="0"/>
    <n v="0"/>
    <m/>
    <n v="28.7"/>
    <x v="0"/>
  </r>
  <r>
    <s v="USR-101280"/>
    <d v="2025-02-11T00:00:00"/>
    <x v="1"/>
    <s v="North"/>
    <x v="1"/>
    <s v="Organic"/>
    <s v="Free"/>
    <n v="0"/>
    <n v="0"/>
    <n v="0"/>
    <n v="0"/>
    <n v="0"/>
    <x v="0"/>
    <n v="0"/>
    <m/>
    <n v="68.8"/>
    <x v="0"/>
  </r>
  <r>
    <s v="USR-101281"/>
    <d v="2025-01-21T00:00:00"/>
    <x v="1"/>
    <s v="East"/>
    <x v="0"/>
    <s v="Paid Search"/>
    <s v="Free"/>
    <n v="1"/>
    <n v="1"/>
    <n v="1"/>
    <n v="0"/>
    <n v="0"/>
    <x v="0"/>
    <n v="0"/>
    <m/>
    <n v="43.5"/>
    <x v="0"/>
  </r>
  <r>
    <s v="USR-101282"/>
    <d v="2025-02-02T00:00:00"/>
    <x v="1"/>
    <s v="West"/>
    <x v="0"/>
    <s v="Social"/>
    <s v="Free"/>
    <n v="1"/>
    <n v="1"/>
    <n v="0"/>
    <n v="0"/>
    <n v="0"/>
    <x v="0"/>
    <n v="0"/>
    <m/>
    <n v="62.6"/>
    <x v="0"/>
  </r>
  <r>
    <s v="USR-101283"/>
    <d v="2025-02-02T00:00:00"/>
    <x v="1"/>
    <s v="West"/>
    <x v="1"/>
    <s v="Organic"/>
    <s v="Free"/>
    <n v="0"/>
    <n v="0"/>
    <n v="0"/>
    <n v="0"/>
    <n v="0"/>
    <x v="1"/>
    <n v="0"/>
    <m/>
    <n v="54.1"/>
    <x v="0"/>
  </r>
  <r>
    <s v="USR-101284"/>
    <d v="2025-02-26T00:00:00"/>
    <x v="1"/>
    <s v="West"/>
    <x v="2"/>
    <s v="Social"/>
    <s v="Free"/>
    <n v="1"/>
    <n v="1"/>
    <n v="1"/>
    <n v="0"/>
    <n v="0"/>
    <x v="0"/>
    <n v="0"/>
    <m/>
    <n v="80.099999999999994"/>
    <x v="0"/>
  </r>
  <r>
    <s v="USR-101285"/>
    <d v="2025-04-22T00:00:00"/>
    <x v="1"/>
    <s v="North"/>
    <x v="1"/>
    <s v="Social"/>
    <s v="Premium"/>
    <n v="1"/>
    <n v="0"/>
    <n v="0"/>
    <n v="0"/>
    <n v="0"/>
    <x v="0"/>
    <n v="0"/>
    <m/>
    <n v="69.5"/>
    <x v="0"/>
  </r>
  <r>
    <s v="USR-101286"/>
    <d v="2025-03-11T00:00:00"/>
    <x v="1"/>
    <s v="North"/>
    <x v="0"/>
    <s v="Organic"/>
    <s v="Basic"/>
    <n v="0"/>
    <n v="0"/>
    <n v="0"/>
    <n v="0"/>
    <n v="0"/>
    <x v="2"/>
    <n v="0"/>
    <m/>
    <n v="46.6"/>
    <x v="0"/>
  </r>
  <r>
    <s v="USR-101287"/>
    <d v="2025-05-08T00:00:00"/>
    <x v="1"/>
    <s v="South"/>
    <x v="1"/>
    <s v="Organic"/>
    <s v="Premium"/>
    <n v="1"/>
    <n v="0"/>
    <n v="0"/>
    <n v="0"/>
    <n v="0"/>
    <x v="1"/>
    <n v="0"/>
    <m/>
    <n v="54.9"/>
    <x v="0"/>
  </r>
  <r>
    <s v="USR-101288"/>
    <d v="2025-03-10T00:00:00"/>
    <x v="1"/>
    <s v="East"/>
    <x v="0"/>
    <s v="Organic"/>
    <s v="Free"/>
    <n v="0"/>
    <n v="0"/>
    <n v="0"/>
    <n v="0"/>
    <n v="0"/>
    <x v="0"/>
    <n v="0"/>
    <m/>
    <n v="100"/>
    <x v="0"/>
  </r>
  <r>
    <s v="USR-101289"/>
    <d v="2025-04-16T00:00:00"/>
    <x v="1"/>
    <s v="East"/>
    <x v="0"/>
    <s v="Paid Search"/>
    <s v="Free"/>
    <n v="1"/>
    <n v="1"/>
    <n v="1"/>
    <n v="0"/>
    <n v="0"/>
    <x v="1"/>
    <n v="0"/>
    <m/>
    <n v="80.5"/>
    <x v="0"/>
  </r>
  <r>
    <s v="USR-101290"/>
    <d v="2025-03-01T00:00:00"/>
    <x v="1"/>
    <s v="West"/>
    <x v="2"/>
    <s v="Organic"/>
    <s v="Basic"/>
    <n v="1"/>
    <n v="0"/>
    <n v="0"/>
    <n v="0"/>
    <n v="0"/>
    <x v="0"/>
    <n v="0"/>
    <m/>
    <n v="51.2"/>
    <x v="0"/>
  </r>
  <r>
    <s v="USR-101291"/>
    <d v="2025-01-18T00:00:00"/>
    <x v="1"/>
    <s v="South"/>
    <x v="0"/>
    <s v="Organic"/>
    <s v="Premium"/>
    <n v="1"/>
    <n v="0"/>
    <n v="0"/>
    <n v="0"/>
    <n v="0"/>
    <x v="0"/>
    <n v="0"/>
    <m/>
    <n v="42.5"/>
    <x v="0"/>
  </r>
  <r>
    <s v="USR-101292"/>
    <d v="2025-03-30T00:00:00"/>
    <x v="1"/>
    <s v="North"/>
    <x v="1"/>
    <s v="Paid Search"/>
    <s v="Free"/>
    <n v="0"/>
    <n v="0"/>
    <n v="0"/>
    <n v="0"/>
    <n v="0"/>
    <x v="0"/>
    <n v="0"/>
    <m/>
    <n v="72.5"/>
    <x v="0"/>
  </r>
  <r>
    <s v="USR-101293"/>
    <d v="2025-05-26T00:00:00"/>
    <x v="1"/>
    <s v="West"/>
    <x v="1"/>
    <s v="Social"/>
    <s v="Premium"/>
    <n v="0"/>
    <n v="0"/>
    <n v="0"/>
    <n v="0"/>
    <n v="0"/>
    <x v="0"/>
    <n v="0"/>
    <m/>
    <n v="74.400000000000006"/>
    <x v="0"/>
  </r>
  <r>
    <s v="USR-101294"/>
    <d v="2025-03-19T00:00:00"/>
    <x v="1"/>
    <s v="East"/>
    <x v="0"/>
    <s v="Social"/>
    <s v="Free"/>
    <n v="0"/>
    <n v="0"/>
    <n v="0"/>
    <n v="0"/>
    <n v="0"/>
    <x v="0"/>
    <n v="0"/>
    <m/>
    <n v="78.400000000000006"/>
    <x v="0"/>
  </r>
  <r>
    <s v="USR-101295"/>
    <d v="2025-03-28T00:00:00"/>
    <x v="1"/>
    <s v="North"/>
    <x v="0"/>
    <s v="Referral"/>
    <s v="Free"/>
    <n v="1"/>
    <n v="0"/>
    <n v="0"/>
    <n v="0"/>
    <n v="0"/>
    <x v="0"/>
    <n v="0"/>
    <m/>
    <n v="71.5"/>
    <x v="0"/>
  </r>
  <r>
    <s v="USR-101296"/>
    <d v="2025-05-28T00:00:00"/>
    <x v="1"/>
    <s v="South"/>
    <x v="0"/>
    <s v="Social"/>
    <s v="Free"/>
    <n v="1"/>
    <n v="0"/>
    <n v="0"/>
    <n v="0"/>
    <n v="0"/>
    <x v="0"/>
    <n v="0"/>
    <m/>
    <n v="66.7"/>
    <x v="0"/>
  </r>
  <r>
    <s v="USR-101297"/>
    <d v="2025-05-31T00:00:00"/>
    <x v="1"/>
    <s v="South"/>
    <x v="0"/>
    <s v="Referral"/>
    <s v="Premium"/>
    <n v="1"/>
    <n v="1"/>
    <n v="1"/>
    <n v="1"/>
    <n v="1496.09"/>
    <x v="0"/>
    <n v="0"/>
    <n v="7"/>
    <n v="60.4"/>
    <x v="0"/>
  </r>
  <r>
    <s v="USR-101298"/>
    <d v="2025-05-10T00:00:00"/>
    <x v="1"/>
    <s v="North"/>
    <x v="1"/>
    <s v="Referral"/>
    <s v="Free"/>
    <n v="0"/>
    <n v="0"/>
    <n v="0"/>
    <n v="0"/>
    <n v="0"/>
    <x v="1"/>
    <n v="0"/>
    <m/>
    <n v="72.900000000000006"/>
    <x v="0"/>
  </r>
  <r>
    <s v="USR-101299"/>
    <d v="2025-05-17T00:00:00"/>
    <x v="1"/>
    <s v="West"/>
    <x v="1"/>
    <s v="Organic"/>
    <s v="Free"/>
    <n v="0"/>
    <n v="0"/>
    <n v="0"/>
    <n v="0"/>
    <n v="0"/>
    <x v="3"/>
    <n v="0"/>
    <m/>
    <m/>
    <x v="0"/>
  </r>
  <r>
    <s v="USR-101300"/>
    <d v="2025-01-18T00:00:00"/>
    <x v="1"/>
    <s v="South"/>
    <x v="1"/>
    <s v="Organic"/>
    <s v="Premium"/>
    <n v="1"/>
    <n v="0"/>
    <n v="0"/>
    <n v="0"/>
    <n v="0"/>
    <x v="0"/>
    <n v="0"/>
    <m/>
    <n v="55.2"/>
    <x v="0"/>
  </r>
  <r>
    <s v="USR-101301"/>
    <d v="2025-05-04T00:00:00"/>
    <x v="1"/>
    <s v="West"/>
    <x v="1"/>
    <s v="Social"/>
    <s v="Free"/>
    <n v="1"/>
    <n v="0"/>
    <n v="0"/>
    <n v="0"/>
    <n v="0"/>
    <x v="0"/>
    <n v="0"/>
    <m/>
    <n v="67.8"/>
    <x v="0"/>
  </r>
  <r>
    <s v="USR-101302"/>
    <d v="2025-03-25T00:00:00"/>
    <x v="1"/>
    <s v="North"/>
    <x v="1"/>
    <s v="Organic"/>
    <s v="Free"/>
    <n v="1"/>
    <n v="0"/>
    <n v="0"/>
    <n v="0"/>
    <n v="0"/>
    <x v="2"/>
    <n v="0"/>
    <m/>
    <n v="70"/>
    <x v="0"/>
  </r>
  <r>
    <s v="USR-101303"/>
    <d v="2025-02-27T00:00:00"/>
    <x v="1"/>
    <s v="North"/>
    <x v="1"/>
    <s v="Social"/>
    <s v="Basic"/>
    <n v="1"/>
    <n v="1"/>
    <n v="1"/>
    <n v="0"/>
    <n v="0"/>
    <x v="0"/>
    <n v="0"/>
    <m/>
    <n v="51.1"/>
    <x v="0"/>
  </r>
  <r>
    <s v="USR-101304"/>
    <d v="2025-01-14T00:00:00"/>
    <x v="1"/>
    <s v="West"/>
    <x v="1"/>
    <s v="Paid Search"/>
    <s v="Basic"/>
    <n v="1"/>
    <n v="1"/>
    <n v="1"/>
    <n v="0"/>
    <n v="0"/>
    <x v="0"/>
    <n v="0"/>
    <m/>
    <n v="57"/>
    <x v="0"/>
  </r>
  <r>
    <s v="USR-101305"/>
    <d v="2025-04-11T00:00:00"/>
    <x v="1"/>
    <s v="East"/>
    <x v="1"/>
    <s v="Social"/>
    <s v="Free"/>
    <n v="0"/>
    <n v="0"/>
    <n v="0"/>
    <n v="0"/>
    <n v="0"/>
    <x v="1"/>
    <n v="0"/>
    <m/>
    <n v="47.1"/>
    <x v="0"/>
  </r>
  <r>
    <s v="USR-101306"/>
    <d v="2025-03-26T00:00:00"/>
    <x v="1"/>
    <s v="East"/>
    <x v="0"/>
    <s v="Social"/>
    <s v="Basic"/>
    <n v="0"/>
    <n v="0"/>
    <n v="0"/>
    <n v="0"/>
    <n v="0"/>
    <x v="0"/>
    <n v="0"/>
    <m/>
    <n v="30.7"/>
    <x v="0"/>
  </r>
  <r>
    <s v="USR-101307"/>
    <d v="2025-02-12T00:00:00"/>
    <x v="1"/>
    <s v="West"/>
    <x v="0"/>
    <s v="Social"/>
    <s v="Free"/>
    <n v="1"/>
    <n v="0"/>
    <n v="0"/>
    <n v="0"/>
    <n v="0"/>
    <x v="0"/>
    <n v="0"/>
    <m/>
    <n v="57.3"/>
    <x v="0"/>
  </r>
  <r>
    <s v="USR-101308"/>
    <d v="2025-02-18T00:00:00"/>
    <x v="1"/>
    <s v="West"/>
    <x v="2"/>
    <s v="Paid Search"/>
    <s v="Basic"/>
    <n v="1"/>
    <n v="0"/>
    <n v="0"/>
    <n v="0"/>
    <n v="0"/>
    <x v="0"/>
    <n v="0"/>
    <m/>
    <n v="70"/>
    <x v="0"/>
  </r>
  <r>
    <s v="USR-101309"/>
    <d v="2025-05-25T00:00:00"/>
    <x v="1"/>
    <s v="East"/>
    <x v="0"/>
    <s v="Social"/>
    <s v="Free"/>
    <n v="1"/>
    <n v="1"/>
    <n v="1"/>
    <n v="0"/>
    <n v="0"/>
    <x v="0"/>
    <n v="0"/>
    <m/>
    <n v="59.7"/>
    <x v="0"/>
  </r>
  <r>
    <s v="USR-101310"/>
    <d v="2025-05-23T00:00:00"/>
    <x v="1"/>
    <s v="East"/>
    <x v="0"/>
    <s v="Paid Search"/>
    <s v="Basic"/>
    <n v="1"/>
    <n v="0"/>
    <n v="0"/>
    <n v="0"/>
    <n v="0"/>
    <x v="0"/>
    <n v="0"/>
    <m/>
    <n v="68.8"/>
    <x v="0"/>
  </r>
  <r>
    <s v="USR-101311"/>
    <d v="2025-01-16T00:00:00"/>
    <x v="1"/>
    <s v="North"/>
    <x v="0"/>
    <s v="Organic"/>
    <s v="Free"/>
    <n v="1"/>
    <n v="1"/>
    <n v="1"/>
    <n v="1"/>
    <n v="428.37"/>
    <x v="0"/>
    <n v="0"/>
    <n v="9"/>
    <n v="88.3"/>
    <x v="0"/>
  </r>
  <r>
    <s v="USR-101312"/>
    <d v="2025-01-19T00:00:00"/>
    <x v="1"/>
    <s v="West"/>
    <x v="0"/>
    <s v="Email"/>
    <s v="Basic"/>
    <n v="0"/>
    <n v="0"/>
    <n v="0"/>
    <n v="0"/>
    <n v="0"/>
    <x v="0"/>
    <n v="0"/>
    <m/>
    <n v="83.4"/>
    <x v="0"/>
  </r>
  <r>
    <s v="USR-101313"/>
    <d v="2025-05-18T00:00:00"/>
    <x v="1"/>
    <s v="South"/>
    <x v="1"/>
    <s v="Referral"/>
    <s v="Free"/>
    <n v="0"/>
    <n v="0"/>
    <n v="0"/>
    <n v="0"/>
    <n v="0"/>
    <x v="1"/>
    <n v="0"/>
    <m/>
    <n v="81.599999999999994"/>
    <x v="0"/>
  </r>
  <r>
    <s v="USR-101314"/>
    <d v="2025-01-23T00:00:00"/>
    <x v="1"/>
    <s v="East"/>
    <x v="2"/>
    <s v="Social"/>
    <s v="Premium"/>
    <n v="1"/>
    <n v="0"/>
    <n v="0"/>
    <n v="0"/>
    <n v="0"/>
    <x v="0"/>
    <n v="0"/>
    <m/>
    <n v="91.6"/>
    <x v="0"/>
  </r>
  <r>
    <s v="USR-101315"/>
    <d v="2025-01-08T00:00:00"/>
    <x v="1"/>
    <s v="East"/>
    <x v="2"/>
    <m/>
    <s v="Premium"/>
    <n v="1"/>
    <n v="1"/>
    <n v="1"/>
    <n v="0"/>
    <n v="0"/>
    <x v="1"/>
    <n v="0"/>
    <m/>
    <n v="61.5"/>
    <x v="0"/>
  </r>
  <r>
    <s v="USR-101316"/>
    <d v="2025-02-19T00:00:00"/>
    <x v="1"/>
    <s v="North"/>
    <x v="1"/>
    <s v="Organic"/>
    <s v="Premium"/>
    <n v="0"/>
    <n v="0"/>
    <n v="0"/>
    <n v="0"/>
    <n v="0"/>
    <x v="0"/>
    <n v="0"/>
    <m/>
    <m/>
    <x v="0"/>
  </r>
  <r>
    <s v="USR-101317"/>
    <d v="2025-02-10T00:00:00"/>
    <x v="1"/>
    <s v="South"/>
    <x v="1"/>
    <s v="Organic"/>
    <s v="Free"/>
    <n v="1"/>
    <n v="0"/>
    <n v="0"/>
    <n v="0"/>
    <n v="0"/>
    <x v="0"/>
    <n v="0"/>
    <m/>
    <n v="32.6"/>
    <x v="0"/>
  </r>
  <r>
    <s v="USR-101318"/>
    <d v="2025-04-13T00:00:00"/>
    <x v="1"/>
    <s v="South"/>
    <x v="1"/>
    <s v="Paid Search"/>
    <s v="Free"/>
    <n v="1"/>
    <n v="0"/>
    <n v="0"/>
    <n v="0"/>
    <n v="0"/>
    <x v="0"/>
    <n v="0"/>
    <m/>
    <n v="73.900000000000006"/>
    <x v="0"/>
  </r>
  <r>
    <s v="USR-101319"/>
    <d v="2025-05-20T00:00:00"/>
    <x v="1"/>
    <s v="East"/>
    <x v="1"/>
    <s v="Organic"/>
    <s v="Free"/>
    <n v="1"/>
    <n v="1"/>
    <n v="1"/>
    <n v="1"/>
    <n v="444.06"/>
    <x v="0"/>
    <n v="0"/>
    <n v="9"/>
    <n v="99.9"/>
    <x v="0"/>
  </r>
  <r>
    <s v="USR-101320"/>
    <d v="2025-05-13T00:00:00"/>
    <x v="1"/>
    <s v="South"/>
    <x v="1"/>
    <s v="Paid Search"/>
    <s v="Basic"/>
    <n v="1"/>
    <n v="1"/>
    <n v="0"/>
    <n v="0"/>
    <n v="0"/>
    <x v="1"/>
    <n v="0"/>
    <m/>
    <n v="62.4"/>
    <x v="0"/>
  </r>
  <r>
    <s v="USR-101321"/>
    <d v="2025-05-28T00:00:00"/>
    <x v="1"/>
    <s v="South"/>
    <x v="0"/>
    <s v="Paid Search"/>
    <s v="Basic"/>
    <n v="1"/>
    <n v="0"/>
    <n v="0"/>
    <n v="0"/>
    <n v="0"/>
    <x v="0"/>
    <n v="0"/>
    <m/>
    <n v="46.1"/>
    <x v="0"/>
  </r>
  <r>
    <s v="USR-101322"/>
    <d v="2025-03-19T00:00:00"/>
    <x v="1"/>
    <s v="West"/>
    <x v="1"/>
    <s v="Organic"/>
    <s v="Free"/>
    <n v="1"/>
    <n v="1"/>
    <n v="1"/>
    <n v="1"/>
    <n v="2660.21"/>
    <x v="0"/>
    <n v="0"/>
    <n v="3"/>
    <n v="73.900000000000006"/>
    <x v="0"/>
  </r>
  <r>
    <s v="USR-101323"/>
    <d v="2025-02-03T00:00:00"/>
    <x v="1"/>
    <s v="North"/>
    <x v="1"/>
    <s v="Email"/>
    <s v="Premium"/>
    <n v="0"/>
    <n v="0"/>
    <n v="0"/>
    <n v="0"/>
    <n v="0"/>
    <x v="0"/>
    <n v="0"/>
    <m/>
    <n v="90"/>
    <x v="0"/>
  </r>
  <r>
    <s v="USR-101324"/>
    <d v="2025-02-26T00:00:00"/>
    <x v="1"/>
    <s v="South"/>
    <x v="1"/>
    <s v="Email"/>
    <s v="Basic"/>
    <n v="1"/>
    <n v="0"/>
    <n v="0"/>
    <n v="0"/>
    <n v="0"/>
    <x v="1"/>
    <n v="0"/>
    <m/>
    <n v="68.8"/>
    <x v="0"/>
  </r>
  <r>
    <s v="USR-101325"/>
    <d v="2025-01-26T00:00:00"/>
    <x v="1"/>
    <s v="West"/>
    <x v="1"/>
    <s v="Paid Search"/>
    <s v="Free"/>
    <n v="1"/>
    <n v="0"/>
    <n v="0"/>
    <n v="0"/>
    <n v="0"/>
    <x v="0"/>
    <n v="0"/>
    <m/>
    <n v="66.599999999999994"/>
    <x v="0"/>
  </r>
  <r>
    <s v="USR-101326"/>
    <d v="2025-05-13T00:00:00"/>
    <x v="1"/>
    <s v="North"/>
    <x v="1"/>
    <s v="Organic"/>
    <s v="Premium"/>
    <n v="1"/>
    <n v="0"/>
    <n v="0"/>
    <n v="0"/>
    <n v="0"/>
    <x v="0"/>
    <n v="0"/>
    <m/>
    <n v="49.7"/>
    <x v="0"/>
  </r>
  <r>
    <s v="USR-101327"/>
    <d v="2025-02-02T00:00:00"/>
    <x v="1"/>
    <s v="South"/>
    <x v="1"/>
    <s v="Paid Search"/>
    <s v="Basic"/>
    <n v="0"/>
    <n v="0"/>
    <n v="0"/>
    <n v="0"/>
    <n v="0"/>
    <x v="0"/>
    <n v="0"/>
    <m/>
    <n v="67.900000000000006"/>
    <x v="0"/>
  </r>
  <r>
    <s v="USR-101328"/>
    <d v="2025-04-30T00:00:00"/>
    <x v="1"/>
    <s v="West"/>
    <x v="1"/>
    <m/>
    <s v="Basic"/>
    <n v="0"/>
    <n v="0"/>
    <n v="0"/>
    <n v="0"/>
    <n v="0"/>
    <x v="0"/>
    <n v="0"/>
    <m/>
    <n v="66.900000000000006"/>
    <x v="0"/>
  </r>
  <r>
    <s v="USR-101329"/>
    <d v="2025-03-29T00:00:00"/>
    <x v="1"/>
    <s v="East"/>
    <x v="1"/>
    <s v="Organic"/>
    <s v="Free"/>
    <n v="0"/>
    <n v="0"/>
    <n v="0"/>
    <n v="0"/>
    <n v="0"/>
    <x v="0"/>
    <n v="0"/>
    <m/>
    <n v="46.1"/>
    <x v="0"/>
  </r>
  <r>
    <s v="USR-101330"/>
    <d v="2025-04-09T00:00:00"/>
    <x v="1"/>
    <s v="West"/>
    <x v="0"/>
    <s v="Referral"/>
    <s v="Premium"/>
    <n v="1"/>
    <n v="0"/>
    <n v="0"/>
    <n v="0"/>
    <n v="0"/>
    <x v="0"/>
    <n v="0"/>
    <m/>
    <n v="85.6"/>
    <x v="0"/>
  </r>
  <r>
    <s v="USR-101331"/>
    <d v="2025-01-22T00:00:00"/>
    <x v="1"/>
    <s v="South"/>
    <x v="2"/>
    <s v="Organic"/>
    <s v="Free"/>
    <n v="0"/>
    <n v="0"/>
    <n v="0"/>
    <n v="0"/>
    <n v="0"/>
    <x v="0"/>
    <n v="0"/>
    <m/>
    <n v="39.6"/>
    <x v="0"/>
  </r>
  <r>
    <s v="USR-101332"/>
    <d v="2025-01-27T00:00:00"/>
    <x v="1"/>
    <s v="South"/>
    <x v="1"/>
    <s v="Organic"/>
    <s v="Basic"/>
    <n v="1"/>
    <n v="0"/>
    <n v="0"/>
    <n v="0"/>
    <n v="0"/>
    <x v="0"/>
    <n v="0"/>
    <m/>
    <n v="52.5"/>
    <x v="0"/>
  </r>
  <r>
    <s v="USR-101333"/>
    <d v="2025-01-22T00:00:00"/>
    <x v="1"/>
    <s v="East"/>
    <x v="1"/>
    <s v="Social"/>
    <s v="Premium"/>
    <n v="1"/>
    <n v="0"/>
    <n v="0"/>
    <n v="0"/>
    <n v="0"/>
    <x v="0"/>
    <n v="0"/>
    <m/>
    <n v="73.5"/>
    <x v="0"/>
  </r>
  <r>
    <s v="USR-101334"/>
    <d v="2025-01-06T00:00:00"/>
    <x v="1"/>
    <s v="West"/>
    <x v="0"/>
    <s v="Paid Search"/>
    <s v="Free"/>
    <n v="0"/>
    <n v="0"/>
    <n v="0"/>
    <n v="0"/>
    <n v="0"/>
    <x v="0"/>
    <n v="0"/>
    <m/>
    <n v="62.5"/>
    <x v="0"/>
  </r>
  <r>
    <s v="USR-101335"/>
    <d v="2025-04-16T00:00:00"/>
    <x v="1"/>
    <s v="South"/>
    <x v="3"/>
    <s v="Organic"/>
    <s v="Free"/>
    <n v="1"/>
    <n v="0"/>
    <n v="0"/>
    <n v="0"/>
    <n v="0"/>
    <x v="0"/>
    <n v="0"/>
    <m/>
    <n v="76.900000000000006"/>
    <x v="0"/>
  </r>
  <r>
    <s v="USR-101336"/>
    <d v="2025-04-14T00:00:00"/>
    <x v="1"/>
    <s v="South"/>
    <x v="1"/>
    <s v="Organic"/>
    <s v="Free"/>
    <n v="1"/>
    <n v="0"/>
    <n v="0"/>
    <n v="0"/>
    <n v="0"/>
    <x v="0"/>
    <n v="0"/>
    <m/>
    <n v="51.4"/>
    <x v="0"/>
  </r>
  <r>
    <s v="USR-101337"/>
    <d v="2025-02-22T00:00:00"/>
    <x v="1"/>
    <s v="West"/>
    <x v="1"/>
    <s v="Paid Search"/>
    <s v="Basic"/>
    <n v="1"/>
    <n v="0"/>
    <n v="0"/>
    <n v="0"/>
    <n v="0"/>
    <x v="0"/>
    <n v="0"/>
    <m/>
    <n v="59.3"/>
    <x v="0"/>
  </r>
  <r>
    <s v="USR-101338"/>
    <d v="2025-03-09T00:00:00"/>
    <x v="1"/>
    <s v="North"/>
    <x v="1"/>
    <s v="Organic"/>
    <s v="Basic"/>
    <n v="0"/>
    <n v="0"/>
    <n v="0"/>
    <n v="0"/>
    <n v="0"/>
    <x v="0"/>
    <n v="0"/>
    <m/>
    <n v="74.900000000000006"/>
    <x v="0"/>
  </r>
  <r>
    <s v="USR-101339"/>
    <d v="2025-04-20T00:00:00"/>
    <x v="1"/>
    <s v="West"/>
    <x v="0"/>
    <s v="Organic"/>
    <s v="Free"/>
    <n v="1"/>
    <n v="0"/>
    <n v="0"/>
    <n v="0"/>
    <n v="0"/>
    <x v="0"/>
    <n v="0"/>
    <m/>
    <n v="67"/>
    <x v="0"/>
  </r>
  <r>
    <s v="USR-101340"/>
    <d v="2025-03-10T00:00:00"/>
    <x v="1"/>
    <s v="South"/>
    <x v="1"/>
    <s v="Email"/>
    <s v="Free"/>
    <n v="0"/>
    <n v="0"/>
    <n v="0"/>
    <n v="0"/>
    <n v="0"/>
    <x v="0"/>
    <n v="0"/>
    <m/>
    <n v="63.6"/>
    <x v="0"/>
  </r>
  <r>
    <s v="USR-101341"/>
    <d v="2025-02-21T00:00:00"/>
    <x v="1"/>
    <s v="South"/>
    <x v="1"/>
    <s v="Email"/>
    <s v="Free"/>
    <n v="1"/>
    <n v="1"/>
    <n v="0"/>
    <n v="0"/>
    <n v="0"/>
    <x v="1"/>
    <n v="0"/>
    <m/>
    <n v="58.4"/>
    <x v="0"/>
  </r>
  <r>
    <s v="USR-101342"/>
    <d v="2025-01-06T00:00:00"/>
    <x v="1"/>
    <s v="North"/>
    <x v="0"/>
    <s v="Social"/>
    <s v="Free"/>
    <n v="1"/>
    <n v="0"/>
    <n v="0"/>
    <n v="0"/>
    <n v="0"/>
    <x v="0"/>
    <n v="0"/>
    <m/>
    <n v="36.799999999999997"/>
    <x v="0"/>
  </r>
  <r>
    <s v="USR-101343"/>
    <d v="2025-04-17T00:00:00"/>
    <x v="1"/>
    <s v="South"/>
    <x v="1"/>
    <s v="Organic"/>
    <s v="Premium"/>
    <n v="1"/>
    <n v="0"/>
    <n v="0"/>
    <n v="0"/>
    <n v="0"/>
    <x v="0"/>
    <n v="0"/>
    <m/>
    <n v="71.599999999999994"/>
    <x v="0"/>
  </r>
  <r>
    <s v="USR-101344"/>
    <d v="2025-05-23T00:00:00"/>
    <x v="1"/>
    <s v="South"/>
    <x v="1"/>
    <s v="Email"/>
    <s v="Basic"/>
    <n v="1"/>
    <n v="1"/>
    <n v="0"/>
    <n v="0"/>
    <n v="0"/>
    <x v="1"/>
    <n v="0"/>
    <m/>
    <n v="79.7"/>
    <x v="0"/>
  </r>
  <r>
    <s v="USR-101345"/>
    <d v="2025-03-14T00:00:00"/>
    <x v="1"/>
    <s v="West"/>
    <x v="0"/>
    <s v="Organic"/>
    <s v="Basic"/>
    <n v="1"/>
    <n v="0"/>
    <n v="0"/>
    <n v="0"/>
    <n v="0"/>
    <x v="1"/>
    <n v="0"/>
    <m/>
    <n v="56.5"/>
    <x v="0"/>
  </r>
  <r>
    <s v="USR-101346"/>
    <d v="2025-04-21T00:00:00"/>
    <x v="1"/>
    <s v="North"/>
    <x v="1"/>
    <s v="Social"/>
    <s v="Premium"/>
    <n v="1"/>
    <n v="0"/>
    <n v="0"/>
    <n v="0"/>
    <n v="0"/>
    <x v="0"/>
    <n v="0"/>
    <m/>
    <n v="44.7"/>
    <x v="0"/>
  </r>
  <r>
    <s v="USR-101347"/>
    <d v="2025-01-03T00:00:00"/>
    <x v="1"/>
    <s v="South"/>
    <x v="1"/>
    <s v="Social"/>
    <s v="Free"/>
    <n v="1"/>
    <n v="1"/>
    <n v="1"/>
    <n v="0"/>
    <n v="0"/>
    <x v="1"/>
    <n v="0"/>
    <m/>
    <n v="66"/>
    <x v="0"/>
  </r>
  <r>
    <s v="USR-101348"/>
    <d v="2025-05-09T00:00:00"/>
    <x v="1"/>
    <s v="North"/>
    <x v="0"/>
    <s v="Organic"/>
    <s v="Basic"/>
    <n v="1"/>
    <n v="0"/>
    <n v="0"/>
    <n v="0"/>
    <n v="0"/>
    <x v="0"/>
    <n v="0"/>
    <m/>
    <n v="73"/>
    <x v="0"/>
  </r>
  <r>
    <s v="USR-101349"/>
    <d v="2025-05-22T00:00:00"/>
    <x v="1"/>
    <s v="South"/>
    <x v="1"/>
    <s v="Organic"/>
    <s v="Basic"/>
    <n v="1"/>
    <n v="1"/>
    <n v="1"/>
    <n v="0"/>
    <n v="0"/>
    <x v="1"/>
    <n v="0"/>
    <m/>
    <n v="72.5"/>
    <x v="0"/>
  </r>
  <r>
    <s v="USR-101350"/>
    <d v="2025-05-07T00:00:00"/>
    <x v="1"/>
    <s v="South"/>
    <x v="0"/>
    <s v="Paid Search"/>
    <s v="Free"/>
    <n v="1"/>
    <n v="1"/>
    <n v="1"/>
    <n v="1"/>
    <n v="323.60000000000002"/>
    <x v="0"/>
    <n v="0"/>
    <n v="6"/>
    <n v="100"/>
    <x v="0"/>
  </r>
  <r>
    <s v="USR-101351"/>
    <d v="2025-02-08T00:00:00"/>
    <x v="1"/>
    <s v="East"/>
    <x v="1"/>
    <s v="Social"/>
    <s v="Free"/>
    <n v="0"/>
    <n v="0"/>
    <n v="0"/>
    <n v="0"/>
    <n v="0"/>
    <x v="1"/>
    <n v="0"/>
    <m/>
    <n v="90.5"/>
    <x v="0"/>
  </r>
  <r>
    <s v="USR-101352"/>
    <d v="2025-04-03T00:00:00"/>
    <x v="1"/>
    <s v="North"/>
    <x v="2"/>
    <s v="Social"/>
    <s v="Basic"/>
    <n v="1"/>
    <n v="0"/>
    <n v="0"/>
    <n v="0"/>
    <n v="0"/>
    <x v="0"/>
    <n v="0"/>
    <m/>
    <n v="70.2"/>
    <x v="0"/>
  </r>
  <r>
    <s v="USR-101353"/>
    <d v="2025-04-17T00:00:00"/>
    <x v="1"/>
    <s v="East"/>
    <x v="0"/>
    <s v="Paid Search"/>
    <s v="Free"/>
    <n v="1"/>
    <n v="0"/>
    <n v="0"/>
    <n v="0"/>
    <n v="0"/>
    <x v="1"/>
    <n v="0"/>
    <m/>
    <n v="67.099999999999994"/>
    <x v="0"/>
  </r>
  <r>
    <s v="USR-101354"/>
    <d v="2025-05-04T00:00:00"/>
    <x v="1"/>
    <s v="East"/>
    <x v="1"/>
    <s v="Organic"/>
    <s v="Free"/>
    <n v="0"/>
    <n v="0"/>
    <n v="0"/>
    <n v="0"/>
    <n v="0"/>
    <x v="0"/>
    <n v="0"/>
    <m/>
    <n v="54.5"/>
    <x v="0"/>
  </r>
  <r>
    <s v="USR-101355"/>
    <d v="2025-05-11T00:00:00"/>
    <x v="1"/>
    <s v="West"/>
    <x v="0"/>
    <s v="Organic"/>
    <s v="Free"/>
    <n v="1"/>
    <n v="0"/>
    <n v="0"/>
    <n v="0"/>
    <n v="0"/>
    <x v="0"/>
    <n v="0"/>
    <m/>
    <n v="63.4"/>
    <x v="0"/>
  </r>
  <r>
    <s v="USR-101356"/>
    <d v="2025-03-01T00:00:00"/>
    <x v="1"/>
    <s v="North"/>
    <x v="0"/>
    <m/>
    <s v="Free"/>
    <n v="1"/>
    <n v="1"/>
    <n v="1"/>
    <n v="0"/>
    <n v="0"/>
    <x v="0"/>
    <n v="0"/>
    <m/>
    <n v="84.3"/>
    <x v="0"/>
  </r>
  <r>
    <s v="USR-101357"/>
    <d v="2025-02-20T00:00:00"/>
    <x v="1"/>
    <s v="West"/>
    <x v="0"/>
    <s v="Organic"/>
    <s v="Free"/>
    <n v="1"/>
    <n v="0"/>
    <n v="0"/>
    <n v="0"/>
    <n v="0"/>
    <x v="1"/>
    <n v="0"/>
    <m/>
    <n v="55"/>
    <x v="0"/>
  </r>
  <r>
    <s v="USR-101358"/>
    <d v="2025-05-09T00:00:00"/>
    <x v="1"/>
    <s v="West"/>
    <x v="1"/>
    <s v="Social"/>
    <s v="Free"/>
    <n v="1"/>
    <n v="0"/>
    <n v="0"/>
    <n v="0"/>
    <n v="0"/>
    <x v="0"/>
    <n v="0"/>
    <m/>
    <n v="63.6"/>
    <x v="0"/>
  </r>
  <r>
    <s v="USR-101359"/>
    <d v="2025-04-30T00:00:00"/>
    <x v="1"/>
    <s v="West"/>
    <x v="1"/>
    <s v="Organic"/>
    <s v="Free"/>
    <n v="1"/>
    <n v="0"/>
    <n v="0"/>
    <n v="0"/>
    <n v="0"/>
    <x v="0"/>
    <n v="0"/>
    <m/>
    <n v="55.5"/>
    <x v="0"/>
  </r>
  <r>
    <s v="USR-101360"/>
    <d v="2025-01-07T00:00:00"/>
    <x v="1"/>
    <s v="South"/>
    <x v="1"/>
    <s v="Social"/>
    <s v="Basic"/>
    <n v="0"/>
    <n v="0"/>
    <n v="0"/>
    <n v="0"/>
    <n v="0"/>
    <x v="0"/>
    <n v="0"/>
    <m/>
    <n v="50.5"/>
    <x v="0"/>
  </r>
  <r>
    <s v="USR-101361"/>
    <d v="2025-04-30T00:00:00"/>
    <x v="1"/>
    <s v="North"/>
    <x v="1"/>
    <s v="Social"/>
    <s v="Basic"/>
    <n v="1"/>
    <n v="0"/>
    <n v="0"/>
    <n v="0"/>
    <n v="0"/>
    <x v="0"/>
    <n v="0"/>
    <m/>
    <n v="45.3"/>
    <x v="0"/>
  </r>
  <r>
    <s v="USR-101210"/>
    <d v="2025-02-24T00:00:00"/>
    <x v="1"/>
    <s v="West"/>
    <x v="1"/>
    <s v="Organic"/>
    <s v="Basic"/>
    <n v="1"/>
    <n v="0"/>
    <n v="0"/>
    <n v="0"/>
    <n v="0"/>
    <x v="0"/>
    <n v="0"/>
    <m/>
    <n v="62"/>
    <x v="0"/>
  </r>
  <r>
    <s v="USR-101363"/>
    <d v="2025-03-12T00:00:00"/>
    <x v="1"/>
    <s v="South"/>
    <x v="1"/>
    <s v="Paid Search"/>
    <s v="Premium"/>
    <n v="1"/>
    <n v="1"/>
    <n v="1"/>
    <n v="0"/>
    <n v="0"/>
    <x v="0"/>
    <n v="0"/>
    <m/>
    <n v="88.2"/>
    <x v="0"/>
  </r>
  <r>
    <s v="USR-101364"/>
    <d v="2025-02-17T00:00:00"/>
    <x v="1"/>
    <s v="North"/>
    <x v="1"/>
    <s v="Organic"/>
    <s v="Premium"/>
    <n v="1"/>
    <n v="0"/>
    <n v="0"/>
    <n v="0"/>
    <n v="0"/>
    <x v="0"/>
    <n v="0"/>
    <m/>
    <n v="51.8"/>
    <x v="0"/>
  </r>
  <r>
    <s v="USR-101365"/>
    <d v="2025-05-27T00:00:00"/>
    <x v="1"/>
    <s v="North"/>
    <x v="0"/>
    <s v="Organic"/>
    <s v="Basic"/>
    <n v="0"/>
    <n v="0"/>
    <n v="0"/>
    <n v="0"/>
    <n v="0"/>
    <x v="0"/>
    <n v="0"/>
    <m/>
    <n v="87.9"/>
    <x v="0"/>
  </r>
  <r>
    <s v="USR-101366"/>
    <d v="2025-05-10T00:00:00"/>
    <x v="1"/>
    <s v="South"/>
    <x v="1"/>
    <s v="Social"/>
    <s v="Premium"/>
    <n v="1"/>
    <n v="0"/>
    <n v="0"/>
    <n v="0"/>
    <n v="0"/>
    <x v="2"/>
    <n v="0"/>
    <m/>
    <n v="70.5"/>
    <x v="0"/>
  </r>
  <r>
    <s v="USR-101367"/>
    <d v="2025-01-20T00:00:00"/>
    <x v="1"/>
    <s v="North"/>
    <x v="1"/>
    <s v="Organic"/>
    <s v="Basic"/>
    <n v="1"/>
    <n v="1"/>
    <n v="0"/>
    <n v="0"/>
    <n v="0"/>
    <x v="2"/>
    <n v="0"/>
    <m/>
    <n v="58.5"/>
    <x v="0"/>
  </r>
  <r>
    <s v="USR-101368"/>
    <d v="2025-01-19T00:00:00"/>
    <x v="1"/>
    <s v="East"/>
    <x v="1"/>
    <s v="Referral"/>
    <s v="Free"/>
    <n v="1"/>
    <n v="0"/>
    <n v="0"/>
    <n v="0"/>
    <n v="0"/>
    <x v="0"/>
    <n v="0"/>
    <m/>
    <n v="65.599999999999994"/>
    <x v="0"/>
  </r>
  <r>
    <s v="USR-101369"/>
    <d v="2025-03-07T00:00:00"/>
    <x v="1"/>
    <s v="West"/>
    <x v="0"/>
    <s v="Paid Search"/>
    <s v="Basic"/>
    <n v="1"/>
    <n v="1"/>
    <n v="0"/>
    <n v="0"/>
    <n v="0"/>
    <x v="0"/>
    <n v="0"/>
    <m/>
    <n v="62.7"/>
    <x v="0"/>
  </r>
  <r>
    <s v="USR-101370"/>
    <d v="2025-02-02T00:00:00"/>
    <x v="1"/>
    <s v="East"/>
    <x v="1"/>
    <s v="Organic"/>
    <s v="Free"/>
    <n v="0"/>
    <n v="0"/>
    <n v="0"/>
    <n v="0"/>
    <n v="0"/>
    <x v="1"/>
    <n v="0"/>
    <m/>
    <n v="50.9"/>
    <x v="0"/>
  </r>
  <r>
    <s v="USR-101371"/>
    <d v="2025-03-07T00:00:00"/>
    <x v="1"/>
    <s v="North"/>
    <x v="1"/>
    <s v="Organic"/>
    <s v="Free"/>
    <n v="0"/>
    <n v="0"/>
    <n v="0"/>
    <n v="0"/>
    <n v="0"/>
    <x v="1"/>
    <n v="0"/>
    <m/>
    <n v="60.6"/>
    <x v="0"/>
  </r>
  <r>
    <s v="USR-101372"/>
    <d v="2025-03-30T00:00:00"/>
    <x v="1"/>
    <s v="East"/>
    <x v="0"/>
    <s v="Organic"/>
    <s v="Free"/>
    <n v="1"/>
    <n v="1"/>
    <n v="1"/>
    <n v="0"/>
    <n v="0"/>
    <x v="0"/>
    <n v="0"/>
    <m/>
    <n v="76.599999999999994"/>
    <x v="0"/>
  </r>
  <r>
    <s v="USR-101373"/>
    <d v="2025-05-05T00:00:00"/>
    <x v="1"/>
    <s v="East"/>
    <x v="0"/>
    <s v="Paid Search"/>
    <s v="Free"/>
    <n v="1"/>
    <n v="1"/>
    <n v="1"/>
    <n v="0"/>
    <n v="0"/>
    <x v="0"/>
    <n v="0"/>
    <m/>
    <n v="54.4"/>
    <x v="0"/>
  </r>
  <r>
    <s v="USR-101374"/>
    <d v="2025-04-11T00:00:00"/>
    <x v="1"/>
    <s v="South"/>
    <x v="1"/>
    <s v="Social"/>
    <s v="Free"/>
    <n v="1"/>
    <n v="0"/>
    <n v="0"/>
    <n v="0"/>
    <n v="0"/>
    <x v="0"/>
    <n v="0"/>
    <m/>
    <n v="31.2"/>
    <x v="0"/>
  </r>
  <r>
    <s v="USR-101375"/>
    <d v="2025-03-25T00:00:00"/>
    <x v="1"/>
    <s v="West"/>
    <x v="0"/>
    <s v="Email"/>
    <s v="Premium"/>
    <n v="1"/>
    <n v="0"/>
    <n v="0"/>
    <n v="0"/>
    <n v="0"/>
    <x v="0"/>
    <n v="0"/>
    <m/>
    <n v="72.400000000000006"/>
    <x v="0"/>
  </r>
  <r>
    <s v="USR-101376"/>
    <d v="2025-03-24T00:00:00"/>
    <x v="1"/>
    <s v="North"/>
    <x v="1"/>
    <s v="Organic"/>
    <s v="Premium"/>
    <n v="1"/>
    <n v="0"/>
    <n v="0"/>
    <n v="0"/>
    <n v="0"/>
    <x v="0"/>
    <n v="0"/>
    <m/>
    <n v="74.5"/>
    <x v="0"/>
  </r>
  <r>
    <s v="USR-101377"/>
    <d v="2025-04-27T00:00:00"/>
    <x v="1"/>
    <s v="East"/>
    <x v="1"/>
    <s v="Organic"/>
    <s v="Basic"/>
    <n v="0"/>
    <n v="0"/>
    <n v="0"/>
    <n v="0"/>
    <n v="0"/>
    <x v="0"/>
    <n v="0"/>
    <m/>
    <n v="52.6"/>
    <x v="0"/>
  </r>
  <r>
    <s v="USR-101378"/>
    <d v="2025-01-25T00:00:00"/>
    <x v="1"/>
    <s v="North"/>
    <x v="0"/>
    <s v="Paid Search"/>
    <s v="Free"/>
    <n v="1"/>
    <n v="0"/>
    <n v="0"/>
    <n v="0"/>
    <n v="0"/>
    <x v="0"/>
    <n v="0"/>
    <m/>
    <n v="75.400000000000006"/>
    <x v="0"/>
  </r>
  <r>
    <s v="USR-101379"/>
    <d v="2025-02-17T00:00:00"/>
    <x v="1"/>
    <s v="North"/>
    <x v="2"/>
    <s v="Social"/>
    <s v="Basic"/>
    <n v="1"/>
    <n v="1"/>
    <n v="1"/>
    <n v="1"/>
    <n v="751.33"/>
    <x v="0"/>
    <n v="0"/>
    <n v="9"/>
    <n v="34"/>
    <x v="0"/>
  </r>
  <r>
    <s v="USR-101380"/>
    <d v="2025-04-13T00:00:00"/>
    <x v="1"/>
    <s v="South"/>
    <x v="0"/>
    <s v="Organic"/>
    <s v="Free"/>
    <n v="1"/>
    <n v="0"/>
    <n v="0"/>
    <n v="0"/>
    <n v="0"/>
    <x v="0"/>
    <n v="0"/>
    <m/>
    <n v="67.099999999999994"/>
    <x v="0"/>
  </r>
  <r>
    <s v="USR-101381"/>
    <d v="2025-05-03T00:00:00"/>
    <x v="1"/>
    <s v="West"/>
    <x v="0"/>
    <s v="Paid Search"/>
    <s v="Premium"/>
    <n v="1"/>
    <n v="0"/>
    <n v="0"/>
    <n v="0"/>
    <n v="0"/>
    <x v="0"/>
    <n v="0"/>
    <m/>
    <n v="37.299999999999997"/>
    <x v="0"/>
  </r>
  <r>
    <s v="USR-101382"/>
    <d v="2025-04-29T00:00:00"/>
    <x v="1"/>
    <s v="West"/>
    <x v="1"/>
    <s v="Email"/>
    <s v="Free"/>
    <n v="1"/>
    <n v="0"/>
    <n v="0"/>
    <n v="0"/>
    <n v="0"/>
    <x v="0"/>
    <n v="0"/>
    <m/>
    <n v="54.7"/>
    <x v="0"/>
  </r>
  <r>
    <s v="USR-101383"/>
    <d v="2025-05-03T00:00:00"/>
    <x v="1"/>
    <s v="East"/>
    <x v="0"/>
    <s v="Paid Search"/>
    <s v="Free"/>
    <n v="1"/>
    <n v="0"/>
    <n v="0"/>
    <n v="0"/>
    <n v="0"/>
    <x v="0"/>
    <n v="0"/>
    <m/>
    <n v="51.8"/>
    <x v="0"/>
  </r>
  <r>
    <s v="USR-101384"/>
    <d v="2025-04-28T00:00:00"/>
    <x v="1"/>
    <s v="West"/>
    <x v="1"/>
    <s v="Paid Search"/>
    <s v="Free"/>
    <n v="0"/>
    <n v="0"/>
    <n v="0"/>
    <n v="0"/>
    <n v="0"/>
    <x v="0"/>
    <n v="0"/>
    <m/>
    <n v="49.2"/>
    <x v="0"/>
  </r>
  <r>
    <s v="USR-101385"/>
    <d v="2025-01-21T00:00:00"/>
    <x v="1"/>
    <s v="West"/>
    <x v="1"/>
    <s v="Organic"/>
    <s v="Free"/>
    <n v="1"/>
    <n v="0"/>
    <n v="0"/>
    <n v="0"/>
    <n v="0"/>
    <x v="2"/>
    <n v="0"/>
    <m/>
    <n v="58.8"/>
    <x v="0"/>
  </r>
  <r>
    <s v="USR-101386"/>
    <d v="2025-01-21T00:00:00"/>
    <x v="1"/>
    <s v="North"/>
    <x v="2"/>
    <s v="Paid Search"/>
    <s v="Basic"/>
    <n v="0"/>
    <n v="0"/>
    <n v="0"/>
    <n v="0"/>
    <n v="0"/>
    <x v="1"/>
    <n v="0"/>
    <m/>
    <n v="59.1"/>
    <x v="0"/>
  </r>
  <r>
    <s v="USR-101387"/>
    <d v="2025-05-21T00:00:00"/>
    <x v="1"/>
    <s v="West"/>
    <x v="0"/>
    <s v="Paid Search"/>
    <s v="Free"/>
    <n v="1"/>
    <n v="0"/>
    <n v="0"/>
    <n v="0"/>
    <n v="0"/>
    <x v="2"/>
    <n v="0"/>
    <m/>
    <n v="49.6"/>
    <x v="0"/>
  </r>
  <r>
    <s v="USR-101388"/>
    <d v="2025-01-05T00:00:00"/>
    <x v="1"/>
    <s v="North"/>
    <x v="1"/>
    <s v="Referral"/>
    <s v="Free"/>
    <n v="0"/>
    <n v="0"/>
    <n v="0"/>
    <n v="0"/>
    <n v="0"/>
    <x v="0"/>
    <n v="0"/>
    <m/>
    <n v="58.2"/>
    <x v="0"/>
  </r>
  <r>
    <s v="USR-101389"/>
    <d v="2025-03-06T00:00:00"/>
    <x v="1"/>
    <s v="South"/>
    <x v="0"/>
    <s v="Organic"/>
    <s v="Free"/>
    <n v="1"/>
    <n v="0"/>
    <n v="0"/>
    <n v="0"/>
    <n v="0"/>
    <x v="0"/>
    <n v="0"/>
    <m/>
    <n v="66.8"/>
    <x v="0"/>
  </r>
  <r>
    <s v="USR-101390"/>
    <d v="2025-04-18T00:00:00"/>
    <x v="1"/>
    <s v="North"/>
    <x v="1"/>
    <s v="Paid Search"/>
    <s v="Free"/>
    <n v="1"/>
    <n v="0"/>
    <n v="0"/>
    <n v="0"/>
    <n v="0"/>
    <x v="3"/>
    <n v="0"/>
    <m/>
    <n v="58.3"/>
    <x v="0"/>
  </r>
  <r>
    <s v="USR-101391"/>
    <d v="2025-04-15T00:00:00"/>
    <x v="1"/>
    <s v="West"/>
    <x v="1"/>
    <s v="Organic"/>
    <s v="Basic"/>
    <n v="1"/>
    <n v="1"/>
    <n v="1"/>
    <n v="0"/>
    <n v="0"/>
    <x v="0"/>
    <n v="0"/>
    <m/>
    <n v="38.5"/>
    <x v="0"/>
  </r>
  <r>
    <s v="USR-101392"/>
    <d v="2025-02-10T00:00:00"/>
    <x v="1"/>
    <s v="East"/>
    <x v="1"/>
    <s v="Paid Search"/>
    <s v="Free"/>
    <n v="1"/>
    <n v="0"/>
    <n v="0"/>
    <n v="0"/>
    <n v="0"/>
    <x v="0"/>
    <n v="0"/>
    <m/>
    <n v="76.900000000000006"/>
    <x v="0"/>
  </r>
  <r>
    <s v="USR-101393"/>
    <d v="2025-05-08T00:00:00"/>
    <x v="1"/>
    <s v="East"/>
    <x v="1"/>
    <s v="Organic"/>
    <s v="Free"/>
    <n v="1"/>
    <n v="0"/>
    <n v="0"/>
    <n v="0"/>
    <n v="0"/>
    <x v="0"/>
    <n v="0"/>
    <m/>
    <n v="54"/>
    <x v="0"/>
  </r>
  <r>
    <s v="USR-101394"/>
    <d v="2025-05-28T00:00:00"/>
    <x v="1"/>
    <s v="East"/>
    <x v="2"/>
    <s v="Organic"/>
    <s v="Free"/>
    <n v="1"/>
    <n v="0"/>
    <n v="0"/>
    <n v="0"/>
    <n v="0"/>
    <x v="0"/>
    <n v="0"/>
    <m/>
    <n v="70.599999999999994"/>
    <x v="0"/>
  </r>
  <r>
    <s v="USR-101395"/>
    <d v="2025-04-25T00:00:00"/>
    <x v="1"/>
    <s v="North"/>
    <x v="2"/>
    <s v="Referral"/>
    <s v="Premium"/>
    <n v="1"/>
    <n v="1"/>
    <n v="1"/>
    <n v="0"/>
    <n v="0"/>
    <x v="1"/>
    <n v="0"/>
    <m/>
    <n v="69.400000000000006"/>
    <x v="0"/>
  </r>
  <r>
    <s v="USR-101396"/>
    <d v="2025-02-11T00:00:00"/>
    <x v="1"/>
    <s v="South"/>
    <x v="1"/>
    <m/>
    <s v="Premium"/>
    <n v="1"/>
    <n v="1"/>
    <n v="1"/>
    <n v="1"/>
    <n v="1009.9"/>
    <x v="0"/>
    <n v="0"/>
    <n v="6"/>
    <n v="89.7"/>
    <x v="0"/>
  </r>
  <r>
    <s v="USR-101397"/>
    <d v="2025-04-14T00:00:00"/>
    <x v="1"/>
    <s v="West"/>
    <x v="1"/>
    <s v="Organic"/>
    <s v="Free"/>
    <n v="1"/>
    <n v="0"/>
    <n v="0"/>
    <n v="0"/>
    <n v="0"/>
    <x v="0"/>
    <n v="0"/>
    <m/>
    <n v="62.4"/>
    <x v="0"/>
  </r>
  <r>
    <s v="USR-101398"/>
    <d v="2025-02-04T00:00:00"/>
    <x v="1"/>
    <s v="West"/>
    <x v="2"/>
    <s v="Organic"/>
    <s v="Premium"/>
    <n v="0"/>
    <n v="0"/>
    <n v="0"/>
    <n v="0"/>
    <n v="0"/>
    <x v="0"/>
    <n v="0"/>
    <m/>
    <n v="67.3"/>
    <x v="0"/>
  </r>
  <r>
    <s v="USR-101399"/>
    <d v="2025-03-22T00:00:00"/>
    <x v="1"/>
    <s v="East"/>
    <x v="1"/>
    <s v="Referral"/>
    <s v="Free"/>
    <n v="1"/>
    <n v="0"/>
    <n v="0"/>
    <n v="0"/>
    <n v="0"/>
    <x v="0"/>
    <n v="0"/>
    <m/>
    <n v="54.9"/>
    <x v="0"/>
  </r>
  <r>
    <s v="USR-101400"/>
    <d v="2025-04-18T00:00:00"/>
    <x v="1"/>
    <s v="East"/>
    <x v="0"/>
    <s v="Social"/>
    <s v="Free"/>
    <n v="0"/>
    <n v="0"/>
    <n v="0"/>
    <n v="0"/>
    <n v="0"/>
    <x v="0"/>
    <n v="0"/>
    <m/>
    <n v="55.7"/>
    <x v="0"/>
  </r>
  <r>
    <s v="USR-101210"/>
    <d v="2025-02-24T00:00:00"/>
    <x v="1"/>
    <s v="West"/>
    <x v="1"/>
    <s v="Organic"/>
    <s v="Basic"/>
    <n v="1"/>
    <n v="0"/>
    <n v="0"/>
    <n v="0"/>
    <n v="0"/>
    <x v="0"/>
    <n v="0"/>
    <m/>
    <n v="62"/>
    <x v="1"/>
  </r>
  <r>
    <s v="USR-101232"/>
    <d v="2025-03-30T00:00:00"/>
    <x v="1"/>
    <s v="East"/>
    <x v="1"/>
    <s v="Organic"/>
    <s v="Free"/>
    <n v="1"/>
    <n v="1"/>
    <n v="1"/>
    <n v="0"/>
    <n v="0"/>
    <x v="1"/>
    <n v="0"/>
    <m/>
    <n v="72.5"/>
    <x v="0"/>
  </r>
  <r>
    <s v="USR-101232"/>
    <d v="2025-03-30T00:00:00"/>
    <x v="1"/>
    <s v="East"/>
    <x v="1"/>
    <s v="Organic"/>
    <s v="Free"/>
    <n v="1"/>
    <n v="1"/>
    <n v="1"/>
    <n v="0"/>
    <n v="0"/>
    <x v="1"/>
    <n v="0"/>
    <m/>
    <n v="72.5"/>
    <x v="1"/>
  </r>
  <r>
    <s v="USR-101362"/>
    <d v="2025-05-23T00:00:00"/>
    <x v="1"/>
    <s v="East"/>
    <x v="1"/>
    <s v="Organic"/>
    <s v="Basic"/>
    <n v="1"/>
    <n v="0"/>
    <n v="0"/>
    <n v="0"/>
    <n v="0"/>
    <x v="0"/>
    <n v="0"/>
    <m/>
    <n v="33.6"/>
    <x v="0"/>
  </r>
  <r>
    <s v="USR-101362"/>
    <d v="2025-05-23T00:00:00"/>
    <x v="1"/>
    <s v="East"/>
    <x v="1"/>
    <s v="Organic"/>
    <s v="Basic"/>
    <n v="1"/>
    <n v="0"/>
    <n v="0"/>
    <n v="0"/>
    <n v="0"/>
    <x v="0"/>
    <n v="0"/>
    <m/>
    <n v="33.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9373A-520B-45D4-B320-D1C6CE23376B}" name="PivotTable4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K75:M79" firstHeaderRow="1" firstDataRow="2" firstDataCol="1" rowPageCount="1" colPageCount="1"/>
  <pivotFields count="16">
    <pivotField dataField="1" compact="0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0" item="1" hier="-1"/>
  </pageFields>
  <dataFields count="2">
    <dataField name="Sum of revenue_30d" fld="11" baseField="0" baseItem="0" numFmtId="1"/>
    <dataField name="Count of user_id" fld="0" subtotal="count" baseField="0" baseItem="0"/>
  </dataFields>
  <formats count="10">
    <format dxfId="69">
      <pivotArea outline="0" fieldPosition="0">
        <references count="1">
          <reference field="4294967294" count="1" selected="0">
            <x v="0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-2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2" type="button" dataOnly="0" labelOnly="1" outline="0" axis="axisRow" fieldPosition="0"/>
    </format>
    <format dxfId="61">
      <pivotArea dataOnly="0" labelOnly="1" outline="0" fieldPosition="0">
        <references count="1">
          <reference field="2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2207E-661C-4F30-A953-336D690A9EDC}" name="PivotTable19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Q3:T9" firstHeaderRow="1" firstDataRow="2" firstDataCol="1" rowPageCount="1" colPageCount="1"/>
  <pivotFields count="16">
    <pivotField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0" hier="-1"/>
  </pageFields>
  <dataFields count="1">
    <dataField name="Average of days_to_convert" fld="14" subtotal="average" baseField="0" baseItem="0" numFmtId="165"/>
  </dataFields>
  <formats count="11">
    <format dxfId="71">
      <pivotArea outline="0" collapsedLevelsAreSubtotals="1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2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3" type="button" dataOnly="0" labelOnly="1" outline="0" axis="axisRow" fieldPosition="0"/>
    </format>
    <format dxfId="52">
      <pivotArea dataOnly="0" labelOnly="1" outline="0" fieldPosition="0">
        <references count="1">
          <reference field="3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2" count="0"/>
        </references>
      </pivotArea>
    </format>
    <format dxfId="4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BD610-C212-42FC-BF00-1CB052E45D46}" name="PivotTable13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K3:M7" firstHeaderRow="1" firstDataRow="2" firstDataCol="1"/>
  <pivotFields count="16">
    <pivotField dataField="1" compact="0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30d" fld="11" baseField="0" baseItem="0" numFmtId="1"/>
    <dataField name="Count of user_id" fld="0" subtotal="count" baseField="0" baseItem="0"/>
  </dataFields>
  <formats count="10">
    <format dxfId="72">
      <pivotArea outline="0" fieldPosition="0">
        <references count="1">
          <reference field="4294967294" count="1" selected="0">
            <x v="0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-2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2" type="button" dataOnly="0" labelOnly="1" outline="0" axis="axisRow" fieldPosition="0"/>
    </format>
    <format dxfId="42">
      <pivotArea dataOnly="0" labelOnly="1" outline="0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70743-B6A2-49E6-97BF-D8FBF0F22C25}" name="PivotTable8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F3:I7" firstHeaderRow="1" firstDataRow="2" firstDataCol="1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9"/>
  </dataFields>
  <formats count="11">
    <format dxfId="73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7" type="button" dataOnly="0" labelOnly="1" outline="0" axis="axisRow" fieldPosition="0"/>
    </format>
    <format dxfId="33">
      <pivotArea dataOnly="0" labelOnly="1" outline="0" fieldPosition="0">
        <references count="1">
          <reference field="7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2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0B822-EA40-4A39-BA57-E11A4E8B2C39}" name="PivotTable18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K43:N46" firstHeaderRow="1" firstDataRow="2" firstDataCol="1"/>
  <pivotFields count="16">
    <pivotField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0"/>
  </rowFields>
  <rowItems count="2"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days_to_convert" fld="14" subtotal="average" baseField="0" baseItem="0" numFmtId="165"/>
  </dataFields>
  <formats count="11">
    <format dxfId="74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2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0" type="button" dataOnly="0" labelOnly="1" outline="0" axis="axisRow" fieldPosition="0"/>
    </format>
    <format dxfId="23">
      <pivotArea dataOnly="0" labelOnly="1" outline="0" fieldPosition="0">
        <references count="1">
          <reference field="10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A1F29-ACD6-460D-9D2D-24E04E05B15C}" name="PivotTable12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F30:I34" firstHeaderRow="1" firstDataRow="2" firstDataCol="1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9"/>
  </dataFields>
  <formats count="11">
    <format dxfId="75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0" type="button" dataOnly="0" labelOnly="1" outline="0" axis="axisRow" fieldPosition="0"/>
    </format>
    <format dxfId="13">
      <pivotArea dataOnly="0" labelOnly="1" outline="0" fieldPosition="0">
        <references count="1">
          <reference field="10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2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8C36F-F2C6-4EAD-9DE6-7B831F908B77}" name="PivotTable17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K38:N40" firstHeaderRow="1" firstDataRow="2" firstDataCol="1"/>
  <pivotFields count="16">
    <pivotField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0" baseItem="0" numFmtId="165"/>
  </dataFields>
  <formats count="6">
    <format dxfId="76">
      <pivotArea outline="0" collapsedLevelsAreSubtotals="1" fieldPosition="0"/>
    </format>
    <format dxfId="9">
      <pivotArea type="all" dataOnly="0" outline="0" fieldPosition="0"/>
    </format>
    <format dxfId="3">
      <pivotArea outline="0" collapsedLevelsAreSubtotals="1" fieldPosition="0"/>
    </format>
    <format dxfId="2">
      <pivotArea type="origin" dataOnly="0" labelOnly="1" outline="0" fieldPosition="0"/>
    </format>
    <format dxfId="1">
      <pivotArea field="2" type="button" dataOnly="0" labelOnly="1" outline="0" axis="axisCol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ED941-CBC5-4F7C-9F9C-6515374DB4C2}" name="PivotTable22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Q49:T60" firstHeaderRow="1" firstDataRow="2" firstDataCol="2"/>
  <pivotFields count="16">
    <pivotField dataField="1" compact="0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2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30d" fld="11" baseField="0" baseItem="0" numFmtId="1"/>
    <dataField name="Count of user_id" fld="0" subtotal="count" baseField="0" baseItem="0"/>
  </dataFields>
  <formats count="1">
    <format dxfId="77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D350F-6694-4AE3-A2CC-6618AD39B705}" name="PivotTable7" cacheId="2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D5" firstHeaderRow="1" firstDataRow="2" firstDataCol="1" rowPageCount="1" colPageCount="1"/>
  <pivotFields count="17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Items count="1">
    <i/>
  </rowItems>
  <colFields count="1">
    <field x="2"/>
  </colFields>
  <colItems count="3">
    <i>
      <x/>
    </i>
    <i>
      <x v="1"/>
    </i>
    <i t="grand">
      <x/>
    </i>
  </colItems>
  <pageFields count="1">
    <pageField fld="16" item="1" hier="-1"/>
  </pageField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74682-A612-4250-B994-34FEDBF2037B}" name="PivotTable21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Q28:U45" firstHeaderRow="1" firstDataRow="2" firstDataCol="2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10"/>
  </rowFields>
  <rowItems count="16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 numFmtId="9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79">
      <pivotArea outline="0" collapsedLevelsAreSubtotals="1" fieldPosition="0"/>
    </format>
    <format dxfId="78">
      <pivotArea field="10" type="button" dataOnly="0" labelOnly="1" outline="0" axis="axisRow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D3B11-9A6A-42F6-A8DD-1BFC9DFE75D3}" name="PivotTable11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F24:I28" firstHeaderRow="1" firstDataRow="2" firstDataCol="1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9"/>
  </dataFields>
  <formats count="1">
    <format dxfId="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3C624-B0F4-4A06-A3AA-1C2B42E29E74}" name="PivotTable16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K27:N34" firstHeaderRow="1" firstDataRow="2" firstDataCol="1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D731C-D4E9-4082-BF32-DBDD37F8997B}" name="PivotTable20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Q14:T25" firstHeaderRow="1" firstDataRow="2" firstDataCol="2"/>
  <pivotFields count="16">
    <pivotField dataField="1" compact="0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2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30d" fld="11" baseField="0" baseItem="0" numFmtId="1"/>
    <dataField name="Count of user_id" fld="0" subtotal="count" baseField="0" baseItem="0"/>
  </dataFields>
  <formats count="1">
    <format dxfId="81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647C7-772E-451E-86D8-A71306966BDD}" name="PivotTable10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F17:I21" firstHeaderRow="1" firstDataRow="2" firstDataCol="1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9"/>
  </dataFields>
  <formats count="1"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24A79-7D57-4865-8575-C93775B7CCB3}" name="PivotTable15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K19:N23" firstHeaderRow="1" firstDataRow="2" firstDataCol="1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1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0B087-AAA8-4264-BB09-D5A284C19D78}" name="PivotTable9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F10:I14" firstHeaderRow="1" firstDataRow="2" firstDataCol="1"/>
  <pivotFields count="16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9"/>
  </dataFields>
  <formats count="1">
    <format dxfId="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15895-EF55-4C8F-8B8A-6B4F640265D0}" name="PivotTable14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K12:M16" firstHeaderRow="1" firstDataRow="2" firstDataCol="1" rowPageCount="1" colPageCount="1"/>
  <pivotFields count="16">
    <pivotField dataField="1" compact="0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0" item="1" hier="-1"/>
  </pageFields>
  <dataFields count="2">
    <dataField name="Sum of revenue_30d" fld="11" baseField="0" baseItem="0" numFmtId="1"/>
    <dataField name="Count of user_id" fld="0" subtotal="count" baseField="0" baseItem="0"/>
  </dataFields>
  <formats count="1">
    <format dxfId="84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BB4B2-27A1-40AC-8ABB-3BCE63B4FEC7}" name="PivotTable3" cacheId="2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27:D34" firstHeaderRow="1" firstDataRow="2" firstDataCol="1" rowPageCount="2" colPageCount="1"/>
  <pivotFields count="17">
    <pivotField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2">
    <pageField fld="16" item="1" hier="-1"/>
    <pageField fld="4" hier="-1"/>
  </pageFields>
  <dataFields count="1">
    <dataField name="Sum of revenue_30d" fld="11" baseField="0" baseItem="0" numFmtId="1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EEA89-C9FA-4618-955E-BC6B4CD8DF16}" name="PivotTable2" cacheId="2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16:D22" firstHeaderRow="1" firstDataRow="2" firstDataCol="1" rowPageCount="1" colPageCount="1"/>
  <pivotFields count="17">
    <pivotField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6" item="1" hier="-1"/>
  </pageField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B94A4-A4E0-4287-8BAD-D4B711A3C836}" name="PivotTable1" cacheId="2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D9" firstHeaderRow="1" firstDataRow="2" firstDataCol="1" rowPageCount="1" colPageCount="1"/>
  <pivotFields count="17">
    <pivotField dataField="1" compact="0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6" item="1" hier="-1"/>
  </pageField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0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705B-FF35-4B3B-ADD4-AAE5385C19AE}">
  <dimension ref="A1:AA79"/>
  <sheetViews>
    <sheetView showGridLines="0" tabSelected="1" zoomScale="90" zoomScaleNormal="90" workbookViewId="0">
      <selection activeCell="X23" sqref="X23"/>
    </sheetView>
  </sheetViews>
  <sheetFormatPr defaultRowHeight="13.2" outlineLevelCol="1"/>
  <cols>
    <col min="1" max="3" width="8.796875" style="7"/>
    <col min="4" max="4" width="12.8984375" style="7" hidden="1" customWidth="1" outlineLevel="1"/>
    <col min="5" max="5" width="0" style="7" hidden="1" customWidth="1" outlineLevel="1"/>
    <col min="6" max="6" width="16.796875" style="7" hidden="1" customWidth="1" outlineLevel="1"/>
    <col min="7" max="7" width="0" style="7" hidden="1" customWidth="1" outlineLevel="1"/>
    <col min="8" max="8" width="14.3984375" style="7" hidden="1" customWidth="1" outlineLevel="1"/>
    <col min="9" max="9" width="10.19921875" style="7" hidden="1" customWidth="1" outlineLevel="1"/>
    <col min="10" max="10" width="13.09765625" style="7" hidden="1" customWidth="1" outlineLevel="1"/>
    <col min="11" max="11" width="20.296875" style="7" hidden="1" customWidth="1" outlineLevel="1"/>
    <col min="12" max="12" width="15.19921875" style="7" hidden="1" customWidth="1" outlineLevel="1"/>
    <col min="13" max="13" width="15.5" style="7" hidden="1" customWidth="1" outlineLevel="1"/>
    <col min="14" max="14" width="13.3984375" style="7" hidden="1" customWidth="1" outlineLevel="1"/>
    <col min="15" max="15" width="7.69921875" style="7" hidden="1" customWidth="1" outlineLevel="1"/>
    <col min="16" max="16" width="7.8984375" style="7" hidden="1" customWidth="1" outlineLevel="1"/>
    <col min="17" max="17" width="15.5" style="7" customWidth="1" collapsed="1"/>
    <col min="18" max="20" width="10.69921875" style="7" customWidth="1"/>
    <col min="21" max="21" width="10.59765625" style="7" customWidth="1"/>
    <col min="22" max="23" width="8.796875" style="7"/>
    <col min="24" max="24" width="28.8984375" style="7" bestFit="1" customWidth="1"/>
    <col min="25" max="25" width="36.8984375" style="7" bestFit="1" customWidth="1"/>
    <col min="26" max="16384" width="8.796875" style="7"/>
  </cols>
  <sheetData>
    <row r="1" spans="1:27">
      <c r="A1" s="6" t="s">
        <v>1471</v>
      </c>
      <c r="B1" s="7" t="s">
        <v>1497</v>
      </c>
      <c r="Q1" s="6" t="s">
        <v>10</v>
      </c>
      <c r="R1" s="12">
        <v>1</v>
      </c>
    </row>
    <row r="3" spans="1:27">
      <c r="A3" s="6" t="s">
        <v>1451</v>
      </c>
      <c r="B3" s="6" t="s">
        <v>2</v>
      </c>
      <c r="F3" s="6" t="s">
        <v>1451</v>
      </c>
      <c r="G3" s="6" t="s">
        <v>2</v>
      </c>
      <c r="L3" s="6" t="s">
        <v>1454</v>
      </c>
      <c r="Q3" s="6" t="s">
        <v>1458</v>
      </c>
      <c r="R3" s="6" t="s">
        <v>2</v>
      </c>
    </row>
    <row r="4" spans="1:27">
      <c r="B4" s="7" t="s">
        <v>17</v>
      </c>
      <c r="C4" s="7" t="s">
        <v>723</v>
      </c>
      <c r="D4" s="7" t="s">
        <v>1453</v>
      </c>
      <c r="F4" s="6" t="s">
        <v>7</v>
      </c>
      <c r="G4" s="7" t="s">
        <v>17</v>
      </c>
      <c r="H4" s="7" t="s">
        <v>723</v>
      </c>
      <c r="I4" s="7" t="s">
        <v>1453</v>
      </c>
      <c r="K4" s="6" t="s">
        <v>2</v>
      </c>
      <c r="L4" s="7" t="s">
        <v>1455</v>
      </c>
      <c r="M4" s="7" t="s">
        <v>1451</v>
      </c>
      <c r="N4" s="8" t="s">
        <v>1456</v>
      </c>
      <c r="Q4" s="6" t="s">
        <v>3</v>
      </c>
      <c r="R4" s="7" t="s">
        <v>17</v>
      </c>
      <c r="S4" s="7" t="s">
        <v>723</v>
      </c>
      <c r="T4" s="7" t="s">
        <v>1453</v>
      </c>
    </row>
    <row r="5" spans="1:27" ht="13.8" thickBot="1">
      <c r="A5" s="7" t="s">
        <v>1452</v>
      </c>
      <c r="B5" s="30">
        <v>690</v>
      </c>
      <c r="C5" s="30">
        <v>710</v>
      </c>
      <c r="D5" s="30">
        <v>1400</v>
      </c>
      <c r="F5" s="7">
        <v>0</v>
      </c>
      <c r="G5" s="9">
        <v>0.36363636363636365</v>
      </c>
      <c r="H5" s="9">
        <v>0.27412587412587414</v>
      </c>
      <c r="I5" s="9">
        <v>0.31818181818181818</v>
      </c>
      <c r="K5" s="7" t="s">
        <v>17</v>
      </c>
      <c r="L5" s="10">
        <v>35862.28</v>
      </c>
      <c r="M5" s="30">
        <v>693</v>
      </c>
      <c r="N5" s="11">
        <f>L5/M5</f>
        <v>51.74932178932179</v>
      </c>
      <c r="Q5" s="7" t="s">
        <v>28</v>
      </c>
      <c r="R5" s="14">
        <v>9.25</v>
      </c>
      <c r="S5" s="14">
        <v>6.7272727272727275</v>
      </c>
      <c r="T5" s="14">
        <v>7.4</v>
      </c>
    </row>
    <row r="6" spans="1:27" ht="15.6" thickBot="1">
      <c r="F6" s="7">
        <v>1</v>
      </c>
      <c r="G6" s="9">
        <v>0.63636363636363635</v>
      </c>
      <c r="H6" s="9">
        <v>0.72587412587412592</v>
      </c>
      <c r="I6" s="9">
        <v>0.68181818181818177</v>
      </c>
      <c r="K6" s="7" t="s">
        <v>723</v>
      </c>
      <c r="L6" s="10">
        <v>38520.709999999992</v>
      </c>
      <c r="M6" s="30">
        <v>715</v>
      </c>
      <c r="N6" s="11">
        <f>L6/M6</f>
        <v>53.875118881118873</v>
      </c>
      <c r="Q6" s="7" t="s">
        <v>18</v>
      </c>
      <c r="R6" s="14">
        <v>10</v>
      </c>
      <c r="S6" s="14">
        <v>6.5</v>
      </c>
      <c r="T6" s="14">
        <v>7.5652173913043477</v>
      </c>
      <c r="X6" s="25" t="s">
        <v>1500</v>
      </c>
      <c r="Y6" s="25" t="s">
        <v>1501</v>
      </c>
      <c r="Z6" s="25" t="s">
        <v>17</v>
      </c>
      <c r="AA6" s="25" t="s">
        <v>723</v>
      </c>
    </row>
    <row r="7" spans="1:27" ht="15.6" thickBot="1">
      <c r="F7" s="7" t="s">
        <v>1453</v>
      </c>
      <c r="G7" s="9">
        <v>1</v>
      </c>
      <c r="H7" s="9">
        <v>1</v>
      </c>
      <c r="I7" s="9">
        <v>1</v>
      </c>
      <c r="K7" s="7" t="s">
        <v>1453</v>
      </c>
      <c r="L7" s="10">
        <v>74382.989999999991</v>
      </c>
      <c r="M7" s="30">
        <v>1408</v>
      </c>
      <c r="N7" s="11"/>
      <c r="Q7" s="7" t="s">
        <v>32</v>
      </c>
      <c r="R7" s="14">
        <v>6.5</v>
      </c>
      <c r="S7" s="14">
        <v>6.2142857142857144</v>
      </c>
      <c r="T7" s="14">
        <v>6.3</v>
      </c>
      <c r="X7" s="26" t="s">
        <v>1502</v>
      </c>
      <c r="Y7" s="26" t="s">
        <v>1503</v>
      </c>
      <c r="Z7" s="7">
        <v>690</v>
      </c>
      <c r="AA7" s="7">
        <v>710</v>
      </c>
    </row>
    <row r="8" spans="1:27" ht="15.6" thickBot="1">
      <c r="Q8" s="7" t="s">
        <v>23</v>
      </c>
      <c r="R8" s="14">
        <v>9.8000000000000007</v>
      </c>
      <c r="S8" s="14">
        <v>6.1111111111111107</v>
      </c>
      <c r="T8" s="14">
        <v>7.4285714285714288</v>
      </c>
      <c r="X8" s="27" t="s">
        <v>1504</v>
      </c>
      <c r="Y8" s="27" t="s">
        <v>1505</v>
      </c>
      <c r="Z8" s="28">
        <v>0.63636363636363635</v>
      </c>
      <c r="AA8" s="28">
        <v>0.72587412587412592</v>
      </c>
    </row>
    <row r="9" spans="1:27" ht="15.6" thickBot="1">
      <c r="Q9" s="7" t="s">
        <v>1453</v>
      </c>
      <c r="R9" s="14">
        <v>8.8636363636363633</v>
      </c>
      <c r="S9" s="14">
        <v>6.4</v>
      </c>
      <c r="T9" s="14">
        <v>7.1527777777777777</v>
      </c>
      <c r="X9" s="26" t="s">
        <v>1506</v>
      </c>
      <c r="Y9" s="26" t="s">
        <v>1507</v>
      </c>
      <c r="Z9" s="28">
        <v>0.25108225108225107</v>
      </c>
      <c r="AA9" s="28">
        <v>0.29090909090909089</v>
      </c>
    </row>
    <row r="10" spans="1:27" ht="15.6" thickBot="1">
      <c r="F10" s="6" t="s">
        <v>1451</v>
      </c>
      <c r="G10" s="6" t="s">
        <v>2</v>
      </c>
      <c r="K10" s="6" t="s">
        <v>10</v>
      </c>
      <c r="L10" s="12">
        <v>1</v>
      </c>
      <c r="X10" s="27" t="s">
        <v>1508</v>
      </c>
      <c r="Y10" s="27" t="s">
        <v>1509</v>
      </c>
      <c r="Z10" s="28">
        <v>0.15584415584415584</v>
      </c>
      <c r="AA10" s="28">
        <v>0.21258741258741259</v>
      </c>
    </row>
    <row r="11" spans="1:27" ht="15.6" thickBot="1">
      <c r="F11" s="6" t="s">
        <v>8</v>
      </c>
      <c r="G11" s="7" t="s">
        <v>17</v>
      </c>
      <c r="H11" s="7" t="s">
        <v>723</v>
      </c>
      <c r="I11" s="7" t="s">
        <v>1453</v>
      </c>
      <c r="X11" s="26" t="s">
        <v>1510</v>
      </c>
      <c r="Y11" s="26" t="s">
        <v>1511</v>
      </c>
      <c r="Z11" s="28">
        <v>3.1746031746031744E-2</v>
      </c>
      <c r="AA11" s="28">
        <v>6.9930069930069935E-2</v>
      </c>
    </row>
    <row r="12" spans="1:27" ht="15.6" thickBot="1">
      <c r="F12" s="7">
        <v>0</v>
      </c>
      <c r="G12" s="9">
        <v>0.74891774891774887</v>
      </c>
      <c r="H12" s="9">
        <v>0.70909090909090911</v>
      </c>
      <c r="I12" s="9">
        <v>0.72869318181818177</v>
      </c>
      <c r="L12" s="6" t="s">
        <v>1454</v>
      </c>
      <c r="X12" s="27" t="s">
        <v>1512</v>
      </c>
      <c r="Y12" s="27" t="s">
        <v>1513</v>
      </c>
      <c r="Z12" s="14">
        <v>51.74932178932179</v>
      </c>
      <c r="AA12" s="14">
        <v>53.875118881118873</v>
      </c>
    </row>
    <row r="13" spans="1:27" ht="15.6" thickBot="1">
      <c r="F13" s="7">
        <v>1</v>
      </c>
      <c r="G13" s="9">
        <v>0.25108225108225107</v>
      </c>
      <c r="H13" s="9">
        <v>0.29090909090909089</v>
      </c>
      <c r="I13" s="9">
        <v>0.27130681818181818</v>
      </c>
      <c r="K13" s="6" t="s">
        <v>2</v>
      </c>
      <c r="L13" s="7" t="s">
        <v>1455</v>
      </c>
      <c r="M13" s="7" t="s">
        <v>1451</v>
      </c>
      <c r="N13" s="8" t="s">
        <v>1496</v>
      </c>
      <c r="X13" s="26" t="s">
        <v>1514</v>
      </c>
      <c r="Y13" s="26" t="s">
        <v>1515</v>
      </c>
      <c r="Z13" s="14">
        <v>1630.1036363636363</v>
      </c>
      <c r="AA13" s="14">
        <v>770.41419999999994</v>
      </c>
    </row>
    <row r="14" spans="1:27" ht="15.6" thickBot="1">
      <c r="F14" s="7" t="s">
        <v>1453</v>
      </c>
      <c r="G14" s="9">
        <v>1</v>
      </c>
      <c r="H14" s="9">
        <v>1</v>
      </c>
      <c r="I14" s="9">
        <v>1</v>
      </c>
      <c r="K14" s="7" t="s">
        <v>17</v>
      </c>
      <c r="L14" s="10">
        <v>35862.28</v>
      </c>
      <c r="M14" s="30">
        <v>22</v>
      </c>
      <c r="N14" s="11">
        <f t="shared" ref="N14:N15" si="0">L14/M14</f>
        <v>1630.1036363636363</v>
      </c>
      <c r="S14" s="6" t="s">
        <v>1454</v>
      </c>
      <c r="X14" s="27" t="s">
        <v>1516</v>
      </c>
      <c r="Y14" s="27" t="s">
        <v>1517</v>
      </c>
      <c r="Z14" s="29">
        <v>0</v>
      </c>
      <c r="AA14" s="29">
        <v>4.1958041958041958E-3</v>
      </c>
    </row>
    <row r="15" spans="1:27" ht="15.6" thickBot="1">
      <c r="K15" s="7" t="s">
        <v>723</v>
      </c>
      <c r="L15" s="10">
        <v>38520.71</v>
      </c>
      <c r="M15" s="30">
        <v>50</v>
      </c>
      <c r="N15" s="11">
        <f t="shared" si="0"/>
        <v>770.41419999999994</v>
      </c>
      <c r="Q15" s="6" t="s">
        <v>4</v>
      </c>
      <c r="R15" s="6" t="s">
        <v>2</v>
      </c>
      <c r="S15" s="7" t="s">
        <v>1455</v>
      </c>
      <c r="T15" s="7" t="s">
        <v>1451</v>
      </c>
      <c r="U15" s="8" t="s">
        <v>1456</v>
      </c>
      <c r="X15" s="26" t="s">
        <v>1518</v>
      </c>
      <c r="Y15" s="26" t="s">
        <v>1519</v>
      </c>
      <c r="Z15" s="29">
        <v>0.1471861471861472</v>
      </c>
      <c r="AA15" s="29">
        <v>0.24755244755244757</v>
      </c>
    </row>
    <row r="16" spans="1:27" ht="15.6" thickBot="1">
      <c r="K16" s="7" t="s">
        <v>1453</v>
      </c>
      <c r="L16" s="10">
        <v>74382.989999999991</v>
      </c>
      <c r="M16" s="30">
        <v>72</v>
      </c>
      <c r="Q16" s="7" t="s">
        <v>19</v>
      </c>
      <c r="R16" s="7" t="s">
        <v>17</v>
      </c>
      <c r="S16" s="10">
        <v>16988.59</v>
      </c>
      <c r="T16" s="30">
        <v>200</v>
      </c>
      <c r="U16" s="14">
        <f>S16/T16</f>
        <v>84.942949999999996</v>
      </c>
      <c r="X16" s="27" t="s">
        <v>1520</v>
      </c>
      <c r="Y16" s="27" t="s">
        <v>1521</v>
      </c>
      <c r="Z16" s="14">
        <v>57.026200873362491</v>
      </c>
      <c r="AA16" s="14">
        <v>62.931966053748233</v>
      </c>
    </row>
    <row r="17" spans="6:27" ht="15.6" thickBot="1">
      <c r="F17" s="6" t="s">
        <v>1451</v>
      </c>
      <c r="G17" s="6" t="s">
        <v>2</v>
      </c>
      <c r="R17" s="7" t="s">
        <v>723</v>
      </c>
      <c r="S17" s="10">
        <v>8765.0400000000009</v>
      </c>
      <c r="T17" s="30">
        <v>214</v>
      </c>
      <c r="U17" s="14">
        <f t="shared" ref="U17:U25" si="1">S17/T17</f>
        <v>40.958130841121502</v>
      </c>
      <c r="X17" s="26" t="s">
        <v>1522</v>
      </c>
      <c r="Y17" s="26" t="s">
        <v>1523</v>
      </c>
      <c r="Z17" s="14">
        <v>8.8636363636363633</v>
      </c>
      <c r="AA17" s="14">
        <v>6.4</v>
      </c>
    </row>
    <row r="18" spans="6:27">
      <c r="F18" s="6" t="s">
        <v>8</v>
      </c>
      <c r="G18" s="7" t="s">
        <v>17</v>
      </c>
      <c r="H18" s="7" t="s">
        <v>723</v>
      </c>
      <c r="I18" s="7" t="s">
        <v>1453</v>
      </c>
      <c r="Q18" s="7" t="s">
        <v>1459</v>
      </c>
      <c r="S18" s="10">
        <v>25753.629999999997</v>
      </c>
      <c r="T18" s="30">
        <v>414</v>
      </c>
      <c r="U18" s="31">
        <f t="shared" si="1"/>
        <v>62.206835748792265</v>
      </c>
    </row>
    <row r="19" spans="6:27">
      <c r="F19" s="7">
        <v>0</v>
      </c>
      <c r="G19" s="9">
        <v>0.74891774891774887</v>
      </c>
      <c r="H19" s="9">
        <v>0.70909090909090911</v>
      </c>
      <c r="I19" s="9">
        <v>0.72869318181818177</v>
      </c>
      <c r="K19" s="6" t="s">
        <v>1451</v>
      </c>
      <c r="L19" s="6" t="s">
        <v>2</v>
      </c>
      <c r="Q19" s="7" t="s">
        <v>24</v>
      </c>
      <c r="R19" s="7" t="s">
        <v>17</v>
      </c>
      <c r="S19" s="10">
        <v>17910.929999999997</v>
      </c>
      <c r="T19" s="30">
        <v>428</v>
      </c>
      <c r="U19" s="14">
        <f t="shared" si="1"/>
        <v>41.84796728971962</v>
      </c>
    </row>
    <row r="20" spans="6:27">
      <c r="F20" s="7">
        <v>1</v>
      </c>
      <c r="G20" s="9">
        <v>0.25108225108225107</v>
      </c>
      <c r="H20" s="9">
        <v>0.29090909090909089</v>
      </c>
      <c r="I20" s="9">
        <v>0.27130681818181818</v>
      </c>
      <c r="K20" s="6" t="s">
        <v>13</v>
      </c>
      <c r="L20" s="7" t="s">
        <v>17</v>
      </c>
      <c r="M20" s="7" t="s">
        <v>723</v>
      </c>
      <c r="N20" s="7" t="s">
        <v>1453</v>
      </c>
      <c r="R20" s="7" t="s">
        <v>723</v>
      </c>
      <c r="S20" s="10">
        <v>25649.159999999996</v>
      </c>
      <c r="T20" s="30">
        <v>436</v>
      </c>
      <c r="U20" s="14">
        <f t="shared" si="1"/>
        <v>58.828348623853202</v>
      </c>
    </row>
    <row r="21" spans="6:27">
      <c r="F21" s="7" t="s">
        <v>1453</v>
      </c>
      <c r="G21" s="9">
        <v>1</v>
      </c>
      <c r="H21" s="9">
        <v>1</v>
      </c>
      <c r="I21" s="9">
        <v>1</v>
      </c>
      <c r="K21" s="7">
        <v>0</v>
      </c>
      <c r="L21" s="30">
        <v>693</v>
      </c>
      <c r="M21" s="30">
        <v>712</v>
      </c>
      <c r="N21" s="30">
        <v>1405</v>
      </c>
      <c r="Q21" s="7" t="s">
        <v>1460</v>
      </c>
      <c r="S21" s="10">
        <v>43560.089999999989</v>
      </c>
      <c r="T21" s="30">
        <v>864</v>
      </c>
      <c r="U21" s="31">
        <f t="shared" si="1"/>
        <v>50.416770833333324</v>
      </c>
    </row>
    <row r="22" spans="6:27">
      <c r="K22" s="7">
        <v>1</v>
      </c>
      <c r="L22" s="30"/>
      <c r="M22" s="30">
        <v>3</v>
      </c>
      <c r="N22" s="30">
        <v>3</v>
      </c>
      <c r="Q22" s="7" t="s">
        <v>34</v>
      </c>
      <c r="R22" s="7" t="s">
        <v>17</v>
      </c>
      <c r="S22" s="10">
        <v>409.39</v>
      </c>
      <c r="T22" s="30">
        <v>56</v>
      </c>
      <c r="U22" s="14">
        <f t="shared" si="1"/>
        <v>7.3105357142857139</v>
      </c>
    </row>
    <row r="23" spans="6:27">
      <c r="K23" s="7" t="s">
        <v>1453</v>
      </c>
      <c r="L23" s="30">
        <v>693</v>
      </c>
      <c r="M23" s="30">
        <v>715</v>
      </c>
      <c r="N23" s="30">
        <v>1408</v>
      </c>
      <c r="R23" s="7" t="s">
        <v>723</v>
      </c>
      <c r="S23" s="10">
        <v>4106.51</v>
      </c>
      <c r="T23" s="30">
        <v>56</v>
      </c>
      <c r="U23" s="14">
        <f t="shared" si="1"/>
        <v>73.330535714285716</v>
      </c>
    </row>
    <row r="24" spans="6:27">
      <c r="F24" s="6" t="s">
        <v>1451</v>
      </c>
      <c r="G24" s="6" t="s">
        <v>2</v>
      </c>
      <c r="L24" s="13">
        <f>L22/L23</f>
        <v>0</v>
      </c>
      <c r="M24" s="13">
        <f>M22/M23</f>
        <v>4.1958041958041958E-3</v>
      </c>
      <c r="Q24" s="7" t="s">
        <v>1461</v>
      </c>
      <c r="S24" s="10">
        <v>4515.8999999999996</v>
      </c>
      <c r="T24" s="30">
        <v>112</v>
      </c>
      <c r="U24" s="31">
        <f t="shared" si="1"/>
        <v>40.320535714285711</v>
      </c>
    </row>
    <row r="25" spans="6:27">
      <c r="F25" s="6" t="s">
        <v>9</v>
      </c>
      <c r="G25" s="7" t="s">
        <v>17</v>
      </c>
      <c r="H25" s="7" t="s">
        <v>723</v>
      </c>
      <c r="I25" s="7" t="s">
        <v>1453</v>
      </c>
      <c r="Q25" s="7" t="s">
        <v>1453</v>
      </c>
      <c r="S25" s="10">
        <v>73829.620000000039</v>
      </c>
      <c r="T25" s="30">
        <v>1390</v>
      </c>
      <c r="U25" s="32">
        <f t="shared" si="1"/>
        <v>53.114834532374125</v>
      </c>
    </row>
    <row r="26" spans="6:27">
      <c r="F26" s="7">
        <v>0</v>
      </c>
      <c r="G26" s="9">
        <v>0.8441558441558441</v>
      </c>
      <c r="H26" s="9">
        <v>0.78741258741258746</v>
      </c>
      <c r="I26" s="9">
        <v>0.81534090909090906</v>
      </c>
      <c r="U26" s="11"/>
    </row>
    <row r="27" spans="6:27">
      <c r="F27" s="7">
        <v>1</v>
      </c>
      <c r="G27" s="9">
        <v>0.15584415584415584</v>
      </c>
      <c r="H27" s="9">
        <v>0.21258741258741259</v>
      </c>
      <c r="I27" s="9">
        <v>0.18465909090909091</v>
      </c>
      <c r="K27" s="6" t="s">
        <v>1451</v>
      </c>
      <c r="L27" s="6" t="s">
        <v>2</v>
      </c>
      <c r="U27" s="11"/>
    </row>
    <row r="28" spans="6:27">
      <c r="F28" s="7" t="s">
        <v>1453</v>
      </c>
      <c r="G28" s="9">
        <v>1</v>
      </c>
      <c r="H28" s="9">
        <v>1</v>
      </c>
      <c r="I28" s="9">
        <v>1</v>
      </c>
      <c r="K28" s="6" t="s">
        <v>12</v>
      </c>
      <c r="L28" s="7" t="s">
        <v>17</v>
      </c>
      <c r="M28" s="7" t="s">
        <v>723</v>
      </c>
      <c r="N28" s="7" t="s">
        <v>1453</v>
      </c>
      <c r="Q28" s="6" t="s">
        <v>1451</v>
      </c>
      <c r="S28" s="6" t="s">
        <v>2</v>
      </c>
    </row>
    <row r="29" spans="6:27" ht="26.4">
      <c r="K29" s="7">
        <v>0</v>
      </c>
      <c r="L29" s="30">
        <v>591</v>
      </c>
      <c r="M29" s="30">
        <v>538</v>
      </c>
      <c r="N29" s="30">
        <v>1129</v>
      </c>
      <c r="Q29" s="6" t="s">
        <v>5</v>
      </c>
      <c r="R29" s="33" t="s">
        <v>10</v>
      </c>
      <c r="S29" s="7" t="s">
        <v>17</v>
      </c>
      <c r="T29" s="7" t="s">
        <v>723</v>
      </c>
      <c r="U29" s="7" t="s">
        <v>1453</v>
      </c>
    </row>
    <row r="30" spans="6:27">
      <c r="F30" s="6" t="s">
        <v>1451</v>
      </c>
      <c r="G30" s="6" t="s">
        <v>2</v>
      </c>
      <c r="K30" s="7">
        <v>1</v>
      </c>
      <c r="L30" s="30">
        <v>64</v>
      </c>
      <c r="M30" s="30">
        <v>115</v>
      </c>
      <c r="N30" s="30">
        <v>179</v>
      </c>
      <c r="Q30" s="7" t="s">
        <v>20</v>
      </c>
      <c r="R30" s="7">
        <v>0</v>
      </c>
      <c r="S30" s="9">
        <v>0.97297297297297303</v>
      </c>
      <c r="T30" s="9">
        <v>0.9285714285714286</v>
      </c>
      <c r="U30" s="9">
        <v>0.9538461538461539</v>
      </c>
    </row>
    <row r="31" spans="6:27">
      <c r="F31" s="6" t="s">
        <v>10</v>
      </c>
      <c r="G31" s="7" t="s">
        <v>17</v>
      </c>
      <c r="H31" s="7" t="s">
        <v>723</v>
      </c>
      <c r="I31" s="7" t="s">
        <v>1453</v>
      </c>
      <c r="K31" s="7">
        <v>2</v>
      </c>
      <c r="L31" s="30">
        <v>28</v>
      </c>
      <c r="M31" s="30">
        <v>37</v>
      </c>
      <c r="N31" s="30">
        <v>65</v>
      </c>
      <c r="R31" s="7">
        <v>1</v>
      </c>
      <c r="S31" s="9">
        <v>2.7027027027027029E-2</v>
      </c>
      <c r="T31" s="9">
        <v>7.1428571428571425E-2</v>
      </c>
      <c r="U31" s="9">
        <v>4.6153846153846156E-2</v>
      </c>
    </row>
    <row r="32" spans="6:27">
      <c r="F32" s="7">
        <v>0</v>
      </c>
      <c r="G32" s="9">
        <v>0.96825396825396826</v>
      </c>
      <c r="H32" s="9">
        <v>0.93006993006993011</v>
      </c>
      <c r="I32" s="9">
        <v>0.94886363636363635</v>
      </c>
      <c r="K32" s="7">
        <v>3</v>
      </c>
      <c r="L32" s="30">
        <v>8</v>
      </c>
      <c r="M32" s="30">
        <v>23</v>
      </c>
      <c r="N32" s="30">
        <v>31</v>
      </c>
      <c r="Q32" s="7" t="s">
        <v>1462</v>
      </c>
      <c r="S32" s="9">
        <v>0.10771470160116449</v>
      </c>
      <c r="T32" s="9">
        <v>8.0344332855093251E-2</v>
      </c>
      <c r="U32" s="9">
        <v>9.3930635838150284E-2</v>
      </c>
    </row>
    <row r="33" spans="6:21">
      <c r="F33" s="7">
        <v>1</v>
      </c>
      <c r="G33" s="9">
        <v>3.1746031746031744E-2</v>
      </c>
      <c r="H33" s="9">
        <v>6.9930069930069935E-2</v>
      </c>
      <c r="I33" s="9">
        <v>5.113636363636364E-2</v>
      </c>
      <c r="K33" s="7">
        <v>4</v>
      </c>
      <c r="L33" s="30">
        <v>2</v>
      </c>
      <c r="M33" s="30">
        <v>2</v>
      </c>
      <c r="N33" s="30">
        <v>4</v>
      </c>
      <c r="Q33" s="7" t="s">
        <v>25</v>
      </c>
      <c r="R33" s="7">
        <v>0</v>
      </c>
      <c r="S33" s="9">
        <v>0.97967479674796742</v>
      </c>
      <c r="T33" s="9">
        <v>0.93775933609958506</v>
      </c>
      <c r="U33" s="9">
        <v>0.95893223819301843</v>
      </c>
    </row>
    <row r="34" spans="6:21">
      <c r="F34" s="7" t="s">
        <v>1453</v>
      </c>
      <c r="G34" s="9">
        <v>1</v>
      </c>
      <c r="H34" s="9">
        <v>1</v>
      </c>
      <c r="I34" s="9">
        <v>1</v>
      </c>
      <c r="K34" s="7" t="s">
        <v>1453</v>
      </c>
      <c r="L34" s="30">
        <v>693</v>
      </c>
      <c r="M34" s="30">
        <v>715</v>
      </c>
      <c r="N34" s="30">
        <v>1408</v>
      </c>
      <c r="R34" s="7">
        <v>1</v>
      </c>
      <c r="S34" s="9">
        <v>2.032520325203252E-2</v>
      </c>
      <c r="T34" s="9">
        <v>6.2240663900414939E-2</v>
      </c>
      <c r="U34" s="9">
        <v>4.1067761806981518E-2</v>
      </c>
    </row>
    <row r="35" spans="6:21">
      <c r="L35" s="13" cm="1">
        <f t="array" ref="L35">SUM(L30:L33/L34)</f>
        <v>0.1471861471861472</v>
      </c>
      <c r="M35" s="13" cm="1">
        <f t="array" ref="M35">SUM(M30:M33/M34)</f>
        <v>0.24755244755244757</v>
      </c>
      <c r="Q35" s="7" t="s">
        <v>1463</v>
      </c>
      <c r="S35" s="9">
        <v>0.35807860262008734</v>
      </c>
      <c r="T35" s="9">
        <v>0.34576757532281205</v>
      </c>
      <c r="U35" s="9">
        <v>0.35187861271676302</v>
      </c>
    </row>
    <row r="36" spans="6:21">
      <c r="Q36" s="7" t="s">
        <v>29</v>
      </c>
      <c r="R36" s="7">
        <v>0</v>
      </c>
      <c r="S36" s="9">
        <v>0.98717948717948723</v>
      </c>
      <c r="T36" s="9">
        <v>0.9375</v>
      </c>
      <c r="U36" s="9">
        <v>0.96084337349397586</v>
      </c>
    </row>
    <row r="37" spans="6:21">
      <c r="R37" s="7">
        <v>1</v>
      </c>
      <c r="S37" s="9">
        <v>1.282051282051282E-2</v>
      </c>
      <c r="T37" s="9">
        <v>6.25E-2</v>
      </c>
      <c r="U37" s="9">
        <v>3.9156626506024098E-2</v>
      </c>
    </row>
    <row r="38" spans="6:21">
      <c r="K38" s="6" t="s">
        <v>1457</v>
      </c>
      <c r="L38" s="6" t="s">
        <v>2</v>
      </c>
      <c r="Q38" s="7" t="s">
        <v>1464</v>
      </c>
      <c r="S38" s="9">
        <v>0.22707423580786026</v>
      </c>
      <c r="T38" s="9">
        <v>0.25251076040172166</v>
      </c>
      <c r="U38" s="9">
        <v>0.23988439306358381</v>
      </c>
    </row>
    <row r="39" spans="6:21">
      <c r="L39" s="7" t="s">
        <v>17</v>
      </c>
      <c r="M39" s="7" t="s">
        <v>723</v>
      </c>
      <c r="N39" s="7" t="s">
        <v>1453</v>
      </c>
      <c r="Q39" s="7" t="s">
        <v>39</v>
      </c>
      <c r="R39" s="7">
        <v>0</v>
      </c>
      <c r="S39" s="9">
        <v>0.97530864197530864</v>
      </c>
      <c r="T39" s="9">
        <v>0.89010989010989006</v>
      </c>
      <c r="U39" s="9">
        <v>0.93023255813953487</v>
      </c>
    </row>
    <row r="40" spans="6:21">
      <c r="K40" s="7" t="s">
        <v>1452</v>
      </c>
      <c r="L40" s="14">
        <v>57.026200873362491</v>
      </c>
      <c r="M40" s="14">
        <v>62.931966053748233</v>
      </c>
      <c r="N40" s="14">
        <v>60.02144906743186</v>
      </c>
      <c r="R40" s="7">
        <v>1</v>
      </c>
      <c r="S40" s="9">
        <v>2.4691358024691357E-2</v>
      </c>
      <c r="T40" s="9">
        <v>0.10989010989010989</v>
      </c>
      <c r="U40" s="9">
        <v>6.9767441860465115E-2</v>
      </c>
    </row>
    <row r="41" spans="6:21">
      <c r="Q41" s="7" t="s">
        <v>1465</v>
      </c>
      <c r="S41" s="9">
        <v>0.11790393013100436</v>
      </c>
      <c r="T41" s="9">
        <v>0.13055954088952654</v>
      </c>
      <c r="U41" s="9">
        <v>0.12427745664739884</v>
      </c>
    </row>
    <row r="42" spans="6:21">
      <c r="Q42" s="7" t="s">
        <v>41</v>
      </c>
      <c r="R42" s="7">
        <v>0</v>
      </c>
      <c r="S42" s="9">
        <v>0.92307692307692313</v>
      </c>
      <c r="T42" s="9">
        <v>0.93984962406015038</v>
      </c>
      <c r="U42" s="9">
        <v>0.9315589353612167</v>
      </c>
    </row>
    <row r="43" spans="6:21">
      <c r="K43" s="6" t="s">
        <v>1458</v>
      </c>
      <c r="L43" s="6" t="s">
        <v>2</v>
      </c>
      <c r="R43" s="7">
        <v>1</v>
      </c>
      <c r="S43" s="9">
        <v>7.6923076923076927E-2</v>
      </c>
      <c r="T43" s="9">
        <v>6.0150375939849621E-2</v>
      </c>
      <c r="U43" s="9">
        <v>6.8441064638783272E-2</v>
      </c>
    </row>
    <row r="44" spans="6:21">
      <c r="K44" s="6" t="s">
        <v>10</v>
      </c>
      <c r="L44" s="7" t="s">
        <v>17</v>
      </c>
      <c r="M44" s="7" t="s">
        <v>723</v>
      </c>
      <c r="N44" s="7" t="s">
        <v>1453</v>
      </c>
      <c r="Q44" s="7" t="s">
        <v>1466</v>
      </c>
      <c r="S44" s="9">
        <v>0.18922852983988356</v>
      </c>
      <c r="T44" s="9">
        <v>0.19081779053084649</v>
      </c>
      <c r="U44" s="9">
        <v>0.19002890173410406</v>
      </c>
    </row>
    <row r="45" spans="6:21">
      <c r="K45" s="7">
        <v>1</v>
      </c>
      <c r="L45" s="14">
        <v>8.8636363636363633</v>
      </c>
      <c r="M45" s="14">
        <v>6.4</v>
      </c>
      <c r="N45" s="14">
        <v>7.1527777777777777</v>
      </c>
      <c r="Q45" s="7" t="s">
        <v>1453</v>
      </c>
      <c r="S45" s="9">
        <v>1</v>
      </c>
      <c r="T45" s="9">
        <v>1</v>
      </c>
      <c r="U45" s="9">
        <v>1</v>
      </c>
    </row>
    <row r="46" spans="6:21">
      <c r="K46" s="7" t="s">
        <v>1453</v>
      </c>
      <c r="L46" s="14">
        <v>8.8636363636363633</v>
      </c>
      <c r="M46" s="14">
        <v>6.4</v>
      </c>
      <c r="N46" s="14">
        <v>7.1527777777777777</v>
      </c>
    </row>
    <row r="49" spans="17:21">
      <c r="S49" s="6" t="s">
        <v>1454</v>
      </c>
    </row>
    <row r="50" spans="17:21">
      <c r="Q50" s="6" t="s">
        <v>6</v>
      </c>
      <c r="R50" s="6" t="s">
        <v>2</v>
      </c>
      <c r="S50" s="7" t="s">
        <v>1455</v>
      </c>
      <c r="T50" s="7" t="s">
        <v>1451</v>
      </c>
      <c r="U50" s="8" t="s">
        <v>1456</v>
      </c>
    </row>
    <row r="51" spans="17:21">
      <c r="Q51" s="7" t="s">
        <v>21</v>
      </c>
      <c r="R51" s="7" t="s">
        <v>17</v>
      </c>
      <c r="S51" s="10">
        <v>21809.469999999998</v>
      </c>
      <c r="T51" s="30">
        <v>223</v>
      </c>
      <c r="U51" s="14">
        <f>S51/T51</f>
        <v>97.800313901345277</v>
      </c>
    </row>
    <row r="52" spans="17:21">
      <c r="R52" s="7" t="s">
        <v>723</v>
      </c>
      <c r="S52" s="10">
        <v>8527.82</v>
      </c>
      <c r="T52" s="30">
        <v>235</v>
      </c>
      <c r="U52" s="14">
        <f t="shared" ref="U52:U60" si="2">S52/T52</f>
        <v>36.288595744680848</v>
      </c>
    </row>
    <row r="53" spans="17:21">
      <c r="Q53" s="7" t="s">
        <v>1467</v>
      </c>
      <c r="S53" s="10">
        <v>30337.29</v>
      </c>
      <c r="T53" s="30">
        <v>458</v>
      </c>
      <c r="U53" s="31">
        <f t="shared" si="2"/>
        <v>66.238624454148479</v>
      </c>
    </row>
    <row r="54" spans="17:21">
      <c r="Q54" s="7" t="s">
        <v>26</v>
      </c>
      <c r="R54" s="7" t="s">
        <v>17</v>
      </c>
      <c r="S54" s="10">
        <v>8182.2799999999988</v>
      </c>
      <c r="T54" s="30">
        <v>361</v>
      </c>
      <c r="U54" s="14">
        <f t="shared" si="2"/>
        <v>22.665595567867033</v>
      </c>
    </row>
    <row r="55" spans="17:21">
      <c r="R55" s="7" t="s">
        <v>723</v>
      </c>
      <c r="S55" s="10">
        <v>18730.21</v>
      </c>
      <c r="T55" s="30">
        <v>368</v>
      </c>
      <c r="U55" s="14">
        <f t="shared" si="2"/>
        <v>50.897309782608694</v>
      </c>
    </row>
    <row r="56" spans="17:21">
      <c r="Q56" s="7" t="s">
        <v>1468</v>
      </c>
      <c r="S56" s="10">
        <v>26912.489999999994</v>
      </c>
      <c r="T56" s="30">
        <v>729</v>
      </c>
      <c r="U56" s="31">
        <f t="shared" si="2"/>
        <v>36.916995884773655</v>
      </c>
    </row>
    <row r="57" spans="17:21">
      <c r="Q57" s="7" t="s">
        <v>30</v>
      </c>
      <c r="R57" s="7" t="s">
        <v>17</v>
      </c>
      <c r="S57" s="10">
        <v>5870.5300000000007</v>
      </c>
      <c r="T57" s="30">
        <v>109</v>
      </c>
      <c r="U57" s="14">
        <f t="shared" si="2"/>
        <v>53.85807339449542</v>
      </c>
    </row>
    <row r="58" spans="17:21">
      <c r="R58" s="7" t="s">
        <v>723</v>
      </c>
      <c r="S58" s="10">
        <v>11262.68</v>
      </c>
      <c r="T58" s="30">
        <v>112</v>
      </c>
      <c r="U58" s="14">
        <f t="shared" si="2"/>
        <v>100.55964285714286</v>
      </c>
    </row>
    <row r="59" spans="17:21">
      <c r="Q59" s="7" t="s">
        <v>1469</v>
      </c>
      <c r="S59" s="10">
        <v>17133.21</v>
      </c>
      <c r="T59" s="30">
        <v>221</v>
      </c>
      <c r="U59" s="31">
        <f t="shared" si="2"/>
        <v>77.525837104072394</v>
      </c>
    </row>
    <row r="60" spans="17:21">
      <c r="Q60" s="7" t="s">
        <v>1453</v>
      </c>
      <c r="S60" s="10">
        <v>74382.989999999976</v>
      </c>
      <c r="T60" s="30">
        <v>1408</v>
      </c>
      <c r="U60" s="32">
        <f t="shared" si="2"/>
        <v>52.82882812499998</v>
      </c>
    </row>
    <row r="73" spans="11:13">
      <c r="K73" s="6" t="s">
        <v>10</v>
      </c>
      <c r="L73" s="12">
        <v>1</v>
      </c>
    </row>
    <row r="75" spans="11:13">
      <c r="L75" s="6" t="s">
        <v>1454</v>
      </c>
    </row>
    <row r="76" spans="11:13">
      <c r="K76" s="6" t="s">
        <v>2</v>
      </c>
      <c r="L76" s="7" t="s">
        <v>1455</v>
      </c>
      <c r="M76" s="7" t="s">
        <v>1451</v>
      </c>
    </row>
    <row r="77" spans="11:13">
      <c r="K77" s="7" t="s">
        <v>17</v>
      </c>
      <c r="L77" s="10">
        <v>35862.28</v>
      </c>
      <c r="M77" s="30">
        <v>22</v>
      </c>
    </row>
    <row r="78" spans="11:13">
      <c r="K78" s="7" t="s">
        <v>723</v>
      </c>
      <c r="L78" s="10">
        <v>38520.71</v>
      </c>
      <c r="M78" s="30">
        <v>50</v>
      </c>
    </row>
    <row r="79" spans="11:13">
      <c r="K79" s="7" t="s">
        <v>1453</v>
      </c>
      <c r="L79" s="10">
        <v>74382.989999999991</v>
      </c>
      <c r="M79" s="30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FEA9-D291-49CF-8129-8F01203130FC}">
  <dimension ref="A1:D34"/>
  <sheetViews>
    <sheetView topLeftCell="A13" workbookViewId="0">
      <selection activeCell="D34" sqref="A28:D34"/>
    </sheetView>
  </sheetViews>
  <sheetFormatPr defaultRowHeight="13.8"/>
  <cols>
    <col min="1" max="1" width="21.59765625" customWidth="1"/>
    <col min="2" max="2" width="13.8984375" customWidth="1"/>
    <col min="3" max="3" width="15" customWidth="1"/>
  </cols>
  <sheetData>
    <row r="1" spans="1:4">
      <c r="A1" s="4" t="s">
        <v>1471</v>
      </c>
      <c r="B1" t="s">
        <v>1497</v>
      </c>
    </row>
    <row r="3" spans="1:4">
      <c r="A3" s="4" t="s">
        <v>1451</v>
      </c>
      <c r="B3" s="4" t="s">
        <v>2</v>
      </c>
    </row>
    <row r="4" spans="1:4">
      <c r="A4" s="4" t="s">
        <v>4</v>
      </c>
      <c r="B4" t="s">
        <v>17</v>
      </c>
      <c r="C4" t="s">
        <v>723</v>
      </c>
      <c r="D4" t="s">
        <v>1453</v>
      </c>
    </row>
    <row r="5" spans="1:4">
      <c r="A5" t="s">
        <v>19</v>
      </c>
      <c r="B5" s="22">
        <v>200</v>
      </c>
      <c r="C5" s="22">
        <v>213</v>
      </c>
      <c r="D5" s="22">
        <v>413</v>
      </c>
    </row>
    <row r="6" spans="1:4">
      <c r="A6" t="s">
        <v>24</v>
      </c>
      <c r="B6" s="22">
        <v>426</v>
      </c>
      <c r="C6" s="22">
        <v>432</v>
      </c>
      <c r="D6" s="22">
        <v>858</v>
      </c>
    </row>
    <row r="7" spans="1:4">
      <c r="A7" t="s">
        <v>34</v>
      </c>
      <c r="B7" s="22">
        <v>55</v>
      </c>
      <c r="C7" s="22">
        <v>56</v>
      </c>
      <c r="D7" s="22">
        <v>111</v>
      </c>
    </row>
    <row r="8" spans="1:4">
      <c r="A8" t="s">
        <v>1497</v>
      </c>
      <c r="B8" s="22">
        <v>9</v>
      </c>
      <c r="C8" s="22">
        <v>9</v>
      </c>
      <c r="D8" s="22">
        <v>18</v>
      </c>
    </row>
    <row r="9" spans="1:4">
      <c r="A9" t="s">
        <v>1453</v>
      </c>
      <c r="B9" s="22">
        <v>690</v>
      </c>
      <c r="C9" s="22">
        <v>710</v>
      </c>
      <c r="D9" s="22">
        <v>1400</v>
      </c>
    </row>
    <row r="14" spans="1:4">
      <c r="A14" s="4" t="s">
        <v>1471</v>
      </c>
      <c r="B14" t="s">
        <v>1497</v>
      </c>
    </row>
    <row r="16" spans="1:4">
      <c r="A16" s="4" t="s">
        <v>1499</v>
      </c>
      <c r="B16" s="4" t="s">
        <v>2</v>
      </c>
    </row>
    <row r="17" spans="1:4">
      <c r="A17" s="4" t="s">
        <v>4</v>
      </c>
      <c r="B17" t="s">
        <v>17</v>
      </c>
      <c r="C17" t="s">
        <v>723</v>
      </c>
      <c r="D17" t="s">
        <v>1453</v>
      </c>
    </row>
    <row r="18" spans="1:4">
      <c r="A18" t="s">
        <v>19</v>
      </c>
      <c r="B18" s="22">
        <v>9</v>
      </c>
      <c r="C18" s="22">
        <v>14</v>
      </c>
      <c r="D18" s="22">
        <v>23</v>
      </c>
    </row>
    <row r="19" spans="1:4">
      <c r="A19" t="s">
        <v>24</v>
      </c>
      <c r="B19" s="22">
        <v>11</v>
      </c>
      <c r="C19" s="22">
        <v>32</v>
      </c>
      <c r="D19" s="22">
        <v>43</v>
      </c>
    </row>
    <row r="20" spans="1:4">
      <c r="A20" t="s">
        <v>34</v>
      </c>
      <c r="B20" s="22">
        <v>1</v>
      </c>
      <c r="C20" s="22">
        <v>4</v>
      </c>
      <c r="D20" s="22">
        <v>5</v>
      </c>
    </row>
    <row r="21" spans="1:4">
      <c r="A21" t="s">
        <v>1497</v>
      </c>
      <c r="B21" s="22">
        <v>1</v>
      </c>
      <c r="C21" s="22">
        <v>0</v>
      </c>
      <c r="D21" s="22">
        <v>1</v>
      </c>
    </row>
    <row r="22" spans="1:4">
      <c r="A22" t="s">
        <v>1453</v>
      </c>
      <c r="B22" s="22">
        <v>22</v>
      </c>
      <c r="C22" s="22">
        <v>50</v>
      </c>
      <c r="D22" s="22">
        <v>72</v>
      </c>
    </row>
    <row r="24" spans="1:4">
      <c r="A24" s="4" t="s">
        <v>1471</v>
      </c>
      <c r="B24" t="s">
        <v>1497</v>
      </c>
    </row>
    <row r="25" spans="1:4">
      <c r="A25" s="4" t="s">
        <v>4</v>
      </c>
      <c r="B25" t="s">
        <v>1498</v>
      </c>
    </row>
    <row r="27" spans="1:4">
      <c r="A27" s="4" t="s">
        <v>1455</v>
      </c>
      <c r="B27" s="4" t="s">
        <v>2</v>
      </c>
    </row>
    <row r="28" spans="1:4">
      <c r="A28" s="4" t="s">
        <v>12</v>
      </c>
      <c r="B28" t="s">
        <v>17</v>
      </c>
      <c r="C28" t="s">
        <v>723</v>
      </c>
      <c r="D28" t="s">
        <v>1453</v>
      </c>
    </row>
    <row r="29" spans="1:4">
      <c r="A29">
        <v>0</v>
      </c>
      <c r="B29" s="5">
        <v>31902.720000000001</v>
      </c>
      <c r="C29" s="5">
        <v>29786.879999999997</v>
      </c>
      <c r="D29" s="5">
        <v>61689.599999999999</v>
      </c>
    </row>
    <row r="30" spans="1:4">
      <c r="A30">
        <v>1</v>
      </c>
      <c r="B30" s="5">
        <v>2906.76</v>
      </c>
      <c r="C30" s="5">
        <v>6027.79</v>
      </c>
      <c r="D30" s="5">
        <v>8934.5499999999993</v>
      </c>
    </row>
    <row r="31" spans="1:4">
      <c r="A31">
        <v>2</v>
      </c>
      <c r="B31" s="5">
        <v>1052.8</v>
      </c>
      <c r="C31" s="5">
        <v>1506.6299999999999</v>
      </c>
      <c r="D31" s="5">
        <v>2559.4299999999998</v>
      </c>
    </row>
    <row r="32" spans="1:4">
      <c r="A32">
        <v>3</v>
      </c>
      <c r="B32" s="5">
        <v>0</v>
      </c>
      <c r="C32" s="5">
        <v>1199.4100000000001</v>
      </c>
      <c r="D32" s="5">
        <v>1199.4100000000001</v>
      </c>
    </row>
    <row r="33" spans="1:4">
      <c r="A33">
        <v>4</v>
      </c>
      <c r="B33" s="5">
        <v>0</v>
      </c>
      <c r="C33" s="5">
        <v>0</v>
      </c>
      <c r="D33" s="5">
        <v>0</v>
      </c>
    </row>
    <row r="34" spans="1:4">
      <c r="A34" t="s">
        <v>1453</v>
      </c>
      <c r="B34" s="5">
        <v>35862.280000000006</v>
      </c>
      <c r="C34" s="5">
        <v>38520.71</v>
      </c>
      <c r="D34" s="5">
        <v>74382.989999999991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926C-7ED8-4A9C-8742-C2AF046797E1}">
  <dimension ref="A1:I703"/>
  <sheetViews>
    <sheetView zoomScale="90" zoomScaleNormal="90" workbookViewId="0">
      <selection activeCell="L17" sqref="L17"/>
    </sheetView>
  </sheetViews>
  <sheetFormatPr defaultRowHeight="13.8"/>
  <cols>
    <col min="1" max="1" width="19.3984375" customWidth="1"/>
    <col min="2" max="2" width="17.8984375" customWidth="1"/>
    <col min="6" max="6" width="26.19921875" customWidth="1"/>
    <col min="7" max="7" width="28" customWidth="1"/>
    <col min="8" max="8" width="15" customWidth="1"/>
    <col min="9" max="9" width="13.19921875" customWidth="1"/>
  </cols>
  <sheetData>
    <row r="1" spans="1:8">
      <c r="A1" s="1" t="s">
        <v>17</v>
      </c>
      <c r="B1" s="1" t="s">
        <v>723</v>
      </c>
    </row>
    <row r="2" spans="1:8">
      <c r="A2">
        <v>45.7</v>
      </c>
      <c r="B2">
        <v>73.2</v>
      </c>
    </row>
    <row r="3" spans="1:8">
      <c r="A3">
        <v>48.6</v>
      </c>
      <c r="B3">
        <v>55.7</v>
      </c>
      <c r="F3" t="s">
        <v>1472</v>
      </c>
    </row>
    <row r="4" spans="1:8" ht="14.4" thickBot="1">
      <c r="A4">
        <v>35.4</v>
      </c>
      <c r="B4">
        <v>82.8</v>
      </c>
    </row>
    <row r="5" spans="1:8" ht="14.4">
      <c r="A5">
        <v>64.599999999999994</v>
      </c>
      <c r="B5">
        <v>34.4</v>
      </c>
      <c r="F5" s="17"/>
      <c r="G5" s="17" t="s">
        <v>17</v>
      </c>
      <c r="H5" s="17" t="s">
        <v>723</v>
      </c>
    </row>
    <row r="6" spans="1:8">
      <c r="A6">
        <v>66.599999999999994</v>
      </c>
      <c r="B6">
        <v>45.2</v>
      </c>
      <c r="F6" s="15" t="s">
        <v>1473</v>
      </c>
      <c r="G6" s="15">
        <v>57.029532163742729</v>
      </c>
      <c r="H6" s="15">
        <v>62.940028490028489</v>
      </c>
    </row>
    <row r="7" spans="1:8">
      <c r="A7">
        <v>40.799999999999997</v>
      </c>
      <c r="B7">
        <v>71.599999999999994</v>
      </c>
      <c r="F7" s="15" t="s">
        <v>1474</v>
      </c>
      <c r="G7" s="15">
        <v>191.21906800920655</v>
      </c>
      <c r="H7" s="15">
        <v>193.90505734583385</v>
      </c>
    </row>
    <row r="8" spans="1:8">
      <c r="A8">
        <v>57.1</v>
      </c>
      <c r="B8">
        <v>69.099999999999994</v>
      </c>
      <c r="F8" s="15" t="s">
        <v>1475</v>
      </c>
      <c r="G8" s="15">
        <v>684</v>
      </c>
      <c r="H8" s="15">
        <v>702</v>
      </c>
    </row>
    <row r="9" spans="1:8">
      <c r="A9">
        <v>36.4</v>
      </c>
      <c r="B9">
        <v>37.700000000000003</v>
      </c>
      <c r="F9" s="15" t="s">
        <v>1476</v>
      </c>
      <c r="G9" s="15">
        <v>0</v>
      </c>
      <c r="H9" s="15"/>
    </row>
    <row r="10" spans="1:8">
      <c r="A10">
        <v>55.4</v>
      </c>
      <c r="B10">
        <v>60.8</v>
      </c>
      <c r="F10" s="15" t="s">
        <v>1477</v>
      </c>
      <c r="G10" s="15">
        <v>1383</v>
      </c>
      <c r="H10" s="15"/>
    </row>
    <row r="11" spans="1:8">
      <c r="A11">
        <v>57.3</v>
      </c>
      <c r="B11">
        <v>80.7</v>
      </c>
      <c r="F11" s="15" t="s">
        <v>1478</v>
      </c>
      <c r="G11" s="15">
        <v>-7.9281753688919432</v>
      </c>
      <c r="H11" s="15"/>
    </row>
    <row r="12" spans="1:8">
      <c r="A12">
        <v>63.6</v>
      </c>
      <c r="B12">
        <v>69.2</v>
      </c>
      <c r="F12" s="15" t="s">
        <v>1479</v>
      </c>
      <c r="G12" s="15">
        <v>2.2737530025454532E-15</v>
      </c>
      <c r="H12" s="15"/>
    </row>
    <row r="13" spans="1:8">
      <c r="A13">
        <v>80.400000000000006</v>
      </c>
      <c r="B13">
        <v>55</v>
      </c>
      <c r="F13" s="15" t="s">
        <v>1480</v>
      </c>
      <c r="G13" s="15">
        <v>1.645956155195728</v>
      </c>
      <c r="H13" s="15"/>
    </row>
    <row r="14" spans="1:8">
      <c r="A14">
        <v>62.4</v>
      </c>
      <c r="B14">
        <v>73.599999999999994</v>
      </c>
      <c r="F14" s="15" t="s">
        <v>1481</v>
      </c>
      <c r="G14" s="15">
        <v>4.5475060050909063E-15</v>
      </c>
      <c r="H14" s="15"/>
    </row>
    <row r="15" spans="1:8" ht="14.4" thickBot="1">
      <c r="A15">
        <v>82.4</v>
      </c>
      <c r="B15">
        <v>47.3</v>
      </c>
      <c r="F15" s="16" t="s">
        <v>1482</v>
      </c>
      <c r="G15" s="16">
        <v>1.9616807693697338</v>
      </c>
      <c r="H15" s="16"/>
    </row>
    <row r="16" spans="1:8">
      <c r="A16">
        <v>61.2</v>
      </c>
      <c r="B16">
        <v>43.6</v>
      </c>
    </row>
    <row r="17" spans="1:9">
      <c r="A17">
        <v>68.900000000000006</v>
      </c>
      <c r="B17">
        <v>55.2</v>
      </c>
    </row>
    <row r="18" spans="1:9">
      <c r="A18">
        <v>71.900000000000006</v>
      </c>
      <c r="B18">
        <v>49.4</v>
      </c>
    </row>
    <row r="19" spans="1:9">
      <c r="A19">
        <v>50.5</v>
      </c>
      <c r="B19">
        <v>60.1</v>
      </c>
    </row>
    <row r="20" spans="1:9" ht="14.4" thickBot="1">
      <c r="A20">
        <v>49.3</v>
      </c>
      <c r="B20">
        <v>55.9</v>
      </c>
    </row>
    <row r="21" spans="1:9" ht="14.4">
      <c r="A21">
        <v>60.9</v>
      </c>
      <c r="B21">
        <v>51.5</v>
      </c>
      <c r="F21" s="20" t="s">
        <v>17</v>
      </c>
      <c r="G21" s="20"/>
      <c r="H21" s="20" t="s">
        <v>723</v>
      </c>
      <c r="I21" s="20"/>
    </row>
    <row r="22" spans="1:9">
      <c r="A22">
        <v>62.7</v>
      </c>
      <c r="B22">
        <v>57.9</v>
      </c>
      <c r="F22" s="18"/>
      <c r="G22" s="18"/>
      <c r="H22" s="18"/>
      <c r="I22" s="18"/>
    </row>
    <row r="23" spans="1:9">
      <c r="A23">
        <v>52.7</v>
      </c>
      <c r="B23">
        <v>59.2</v>
      </c>
      <c r="F23" s="18" t="s">
        <v>1473</v>
      </c>
      <c r="G23" s="18">
        <v>57.029532163742729</v>
      </c>
      <c r="H23" s="18" t="s">
        <v>1473</v>
      </c>
      <c r="I23" s="18">
        <v>62.940028490028489</v>
      </c>
    </row>
    <row r="24" spans="1:9">
      <c r="A24">
        <v>54</v>
      </c>
      <c r="B24">
        <v>64.2</v>
      </c>
      <c r="F24" s="18" t="s">
        <v>1483</v>
      </c>
      <c r="G24" s="18">
        <v>0.52873437655322963</v>
      </c>
      <c r="H24" s="18" t="s">
        <v>1483</v>
      </c>
      <c r="I24" s="18">
        <v>0.52556448739157668</v>
      </c>
    </row>
    <row r="25" spans="1:9">
      <c r="A25">
        <v>51.6</v>
      </c>
      <c r="B25">
        <v>68.8</v>
      </c>
      <c r="F25" s="18" t="s">
        <v>1484</v>
      </c>
      <c r="G25" s="18">
        <v>56.4</v>
      </c>
      <c r="H25" s="18" t="s">
        <v>1484</v>
      </c>
      <c r="I25" s="18">
        <v>62.6</v>
      </c>
    </row>
    <row r="26" spans="1:9">
      <c r="A26">
        <v>66.900000000000006</v>
      </c>
      <c r="B26">
        <v>77.900000000000006</v>
      </c>
      <c r="F26" s="18" t="s">
        <v>1485</v>
      </c>
      <c r="G26" s="18">
        <v>49.6</v>
      </c>
      <c r="H26" s="18" t="s">
        <v>1485</v>
      </c>
      <c r="I26" s="18">
        <v>68.8</v>
      </c>
    </row>
    <row r="27" spans="1:9">
      <c r="A27">
        <v>67.400000000000006</v>
      </c>
      <c r="B27">
        <v>92.1</v>
      </c>
      <c r="F27" s="18" t="s">
        <v>1486</v>
      </c>
      <c r="G27" s="18">
        <v>13.828198292229056</v>
      </c>
      <c r="H27" s="18" t="s">
        <v>1486</v>
      </c>
      <c r="I27" s="18">
        <v>13.924979617429745</v>
      </c>
    </row>
    <row r="28" spans="1:9">
      <c r="A28">
        <v>58.8</v>
      </c>
      <c r="B28">
        <v>63.6</v>
      </c>
      <c r="F28" s="18" t="s">
        <v>1487</v>
      </c>
      <c r="G28" s="18">
        <v>191.21906800920655</v>
      </c>
      <c r="H28" s="18" t="s">
        <v>1487</v>
      </c>
      <c r="I28" s="18">
        <v>193.90505734583385</v>
      </c>
    </row>
    <row r="29" spans="1:9">
      <c r="A29">
        <v>73.8</v>
      </c>
      <c r="B29">
        <v>61.6</v>
      </c>
      <c r="F29" s="18" t="s">
        <v>1488</v>
      </c>
      <c r="G29" s="18">
        <v>-5.6816595506593792E-2</v>
      </c>
      <c r="H29" s="18" t="s">
        <v>1488</v>
      </c>
      <c r="I29" s="18">
        <v>-0.13876078369156675</v>
      </c>
    </row>
    <row r="30" spans="1:9">
      <c r="A30">
        <v>60.1</v>
      </c>
      <c r="B30">
        <v>82.3</v>
      </c>
      <c r="F30" s="18" t="s">
        <v>1489</v>
      </c>
      <c r="G30" s="18">
        <v>-8.5543841073375503E-3</v>
      </c>
      <c r="H30" s="18" t="s">
        <v>1489</v>
      </c>
      <c r="I30" s="18">
        <v>1.1984751802813626E-2</v>
      </c>
    </row>
    <row r="31" spans="1:9">
      <c r="A31">
        <v>41</v>
      </c>
      <c r="B31">
        <v>79.3</v>
      </c>
      <c r="F31" s="18" t="s">
        <v>1490</v>
      </c>
      <c r="G31" s="18">
        <v>93.8</v>
      </c>
      <c r="H31" s="18" t="s">
        <v>1490</v>
      </c>
      <c r="I31" s="18">
        <v>77.099999999999994</v>
      </c>
    </row>
    <row r="32" spans="1:9">
      <c r="A32">
        <v>80.3</v>
      </c>
      <c r="B32">
        <v>57.7</v>
      </c>
      <c r="F32" s="18" t="s">
        <v>1491</v>
      </c>
      <c r="G32" s="18">
        <v>6.2</v>
      </c>
      <c r="H32" s="18" t="s">
        <v>1491</v>
      </c>
      <c r="I32" s="18">
        <v>22.9</v>
      </c>
    </row>
    <row r="33" spans="1:9">
      <c r="A33">
        <v>67.599999999999994</v>
      </c>
      <c r="B33">
        <v>63.1</v>
      </c>
      <c r="F33" s="18" t="s">
        <v>1492</v>
      </c>
      <c r="G33" s="18">
        <v>100</v>
      </c>
      <c r="H33" s="18" t="s">
        <v>1492</v>
      </c>
      <c r="I33" s="18">
        <v>100</v>
      </c>
    </row>
    <row r="34" spans="1:9">
      <c r="A34">
        <v>64</v>
      </c>
      <c r="B34">
        <v>72.3</v>
      </c>
      <c r="F34" s="18" t="s">
        <v>1493</v>
      </c>
      <c r="G34" s="18">
        <v>39008.200000000026</v>
      </c>
      <c r="H34" s="18" t="s">
        <v>1493</v>
      </c>
      <c r="I34" s="18">
        <v>44183.9</v>
      </c>
    </row>
    <row r="35" spans="1:9">
      <c r="A35">
        <v>27.2</v>
      </c>
      <c r="B35">
        <v>78</v>
      </c>
      <c r="F35" s="18" t="s">
        <v>1494</v>
      </c>
      <c r="G35" s="18">
        <v>684</v>
      </c>
      <c r="H35" s="18" t="s">
        <v>1494</v>
      </c>
      <c r="I35" s="18">
        <v>702</v>
      </c>
    </row>
    <row r="36" spans="1:9" ht="14.4" thickBot="1">
      <c r="A36">
        <v>85.4</v>
      </c>
      <c r="B36">
        <v>59.1</v>
      </c>
      <c r="F36" s="19" t="s">
        <v>1495</v>
      </c>
      <c r="G36" s="19">
        <v>1.0381399975777559</v>
      </c>
      <c r="H36" s="19" t="s">
        <v>1495</v>
      </c>
      <c r="I36" s="19">
        <v>1.0318690650947955</v>
      </c>
    </row>
    <row r="37" spans="1:9">
      <c r="A37">
        <v>75.900000000000006</v>
      </c>
      <c r="B37">
        <v>47.1</v>
      </c>
    </row>
    <row r="38" spans="1:9">
      <c r="A38">
        <v>34.799999999999997</v>
      </c>
      <c r="B38">
        <v>64.900000000000006</v>
      </c>
    </row>
    <row r="39" spans="1:9">
      <c r="A39">
        <v>48.9</v>
      </c>
      <c r="B39">
        <v>67.3</v>
      </c>
    </row>
    <row r="40" spans="1:9">
      <c r="A40">
        <v>41.5</v>
      </c>
      <c r="B40">
        <v>52.9</v>
      </c>
    </row>
    <row r="41" spans="1:9">
      <c r="A41">
        <v>51.5</v>
      </c>
      <c r="B41">
        <v>69.900000000000006</v>
      </c>
    </row>
    <row r="42" spans="1:9">
      <c r="A42">
        <v>53.2</v>
      </c>
      <c r="B42">
        <v>78.900000000000006</v>
      </c>
    </row>
    <row r="43" spans="1:9">
      <c r="A43">
        <v>55.6</v>
      </c>
      <c r="B43">
        <v>83.3</v>
      </c>
    </row>
    <row r="44" spans="1:9">
      <c r="A44">
        <v>73</v>
      </c>
      <c r="B44">
        <v>24.5</v>
      </c>
    </row>
    <row r="45" spans="1:9">
      <c r="A45">
        <v>65</v>
      </c>
      <c r="B45">
        <v>56.9</v>
      </c>
    </row>
    <row r="46" spans="1:9">
      <c r="A46">
        <v>56.3</v>
      </c>
      <c r="B46">
        <v>69.900000000000006</v>
      </c>
    </row>
    <row r="47" spans="1:9">
      <c r="A47">
        <v>62.4</v>
      </c>
      <c r="B47">
        <v>81.5</v>
      </c>
    </row>
    <row r="48" spans="1:9">
      <c r="A48">
        <v>58.1</v>
      </c>
      <c r="B48">
        <v>37.9</v>
      </c>
    </row>
    <row r="49" spans="1:2">
      <c r="A49">
        <v>80.8</v>
      </c>
      <c r="B49">
        <v>61.7</v>
      </c>
    </row>
    <row r="50" spans="1:2">
      <c r="A50">
        <v>42.9</v>
      </c>
      <c r="B50">
        <v>53.2</v>
      </c>
    </row>
    <row r="51" spans="1:2">
      <c r="A51">
        <v>52.7</v>
      </c>
      <c r="B51">
        <v>61.9</v>
      </c>
    </row>
    <row r="52" spans="1:2">
      <c r="A52">
        <v>46.9</v>
      </c>
      <c r="B52">
        <v>68.900000000000006</v>
      </c>
    </row>
    <row r="53" spans="1:2">
      <c r="A53">
        <v>63</v>
      </c>
      <c r="B53">
        <v>66.3</v>
      </c>
    </row>
    <row r="54" spans="1:2">
      <c r="A54">
        <v>53.6</v>
      </c>
      <c r="B54">
        <v>54.6</v>
      </c>
    </row>
    <row r="55" spans="1:2">
      <c r="A55">
        <v>49.6</v>
      </c>
      <c r="B55">
        <v>53.8</v>
      </c>
    </row>
    <row r="56" spans="1:2">
      <c r="A56">
        <v>54</v>
      </c>
      <c r="B56">
        <v>59.5</v>
      </c>
    </row>
    <row r="57" spans="1:2">
      <c r="A57">
        <v>50</v>
      </c>
      <c r="B57">
        <v>52.6</v>
      </c>
    </row>
    <row r="58" spans="1:2">
      <c r="A58">
        <v>48.1</v>
      </c>
      <c r="B58">
        <v>49</v>
      </c>
    </row>
    <row r="59" spans="1:2">
      <c r="A59">
        <v>49.6</v>
      </c>
      <c r="B59">
        <v>59.3</v>
      </c>
    </row>
    <row r="60" spans="1:2">
      <c r="A60">
        <v>48.9</v>
      </c>
      <c r="B60">
        <v>67.2</v>
      </c>
    </row>
    <row r="61" spans="1:2">
      <c r="A61">
        <v>56.5</v>
      </c>
      <c r="B61">
        <v>73.5</v>
      </c>
    </row>
    <row r="62" spans="1:2">
      <c r="A62">
        <v>53.7</v>
      </c>
      <c r="B62">
        <v>61.2</v>
      </c>
    </row>
    <row r="63" spans="1:2">
      <c r="A63">
        <v>62.2</v>
      </c>
      <c r="B63">
        <v>56.4</v>
      </c>
    </row>
    <row r="64" spans="1:2">
      <c r="A64">
        <v>50.2</v>
      </c>
      <c r="B64">
        <v>72.599999999999994</v>
      </c>
    </row>
    <row r="65" spans="1:2">
      <c r="A65">
        <v>74.3</v>
      </c>
      <c r="B65">
        <v>61.7</v>
      </c>
    </row>
    <row r="66" spans="1:2">
      <c r="A66">
        <v>58</v>
      </c>
      <c r="B66">
        <v>66.900000000000006</v>
      </c>
    </row>
    <row r="67" spans="1:2">
      <c r="A67">
        <v>46.7</v>
      </c>
      <c r="B67">
        <v>64.900000000000006</v>
      </c>
    </row>
    <row r="68" spans="1:2">
      <c r="A68">
        <v>49.6</v>
      </c>
      <c r="B68">
        <v>57.5</v>
      </c>
    </row>
    <row r="69" spans="1:2">
      <c r="A69">
        <v>60.4</v>
      </c>
      <c r="B69">
        <v>76.3</v>
      </c>
    </row>
    <row r="70" spans="1:2">
      <c r="A70">
        <v>55.3</v>
      </c>
      <c r="B70">
        <v>47.5</v>
      </c>
    </row>
    <row r="71" spans="1:2">
      <c r="A71">
        <v>56.2</v>
      </c>
      <c r="B71">
        <v>71.599999999999994</v>
      </c>
    </row>
    <row r="72" spans="1:2">
      <c r="A72">
        <v>29.4</v>
      </c>
      <c r="B72">
        <v>55.8</v>
      </c>
    </row>
    <row r="73" spans="1:2">
      <c r="A73">
        <v>54.2</v>
      </c>
      <c r="B73">
        <v>60.1</v>
      </c>
    </row>
    <row r="74" spans="1:2">
      <c r="A74">
        <v>46.4</v>
      </c>
      <c r="B74">
        <v>59.3</v>
      </c>
    </row>
    <row r="75" spans="1:2">
      <c r="A75">
        <v>54.5</v>
      </c>
      <c r="B75">
        <v>49.3</v>
      </c>
    </row>
    <row r="76" spans="1:2">
      <c r="A76">
        <v>58.5</v>
      </c>
      <c r="B76">
        <v>75</v>
      </c>
    </row>
    <row r="77" spans="1:2">
      <c r="A77">
        <v>75.900000000000006</v>
      </c>
      <c r="B77">
        <v>70.2</v>
      </c>
    </row>
    <row r="78" spans="1:2">
      <c r="A78">
        <v>84.9</v>
      </c>
      <c r="B78">
        <v>56.6</v>
      </c>
    </row>
    <row r="79" spans="1:2">
      <c r="A79">
        <v>48.4</v>
      </c>
      <c r="B79">
        <v>65.400000000000006</v>
      </c>
    </row>
    <row r="80" spans="1:2">
      <c r="A80">
        <v>38</v>
      </c>
      <c r="B80">
        <v>47.6</v>
      </c>
    </row>
    <row r="81" spans="1:2">
      <c r="A81">
        <v>44.2</v>
      </c>
      <c r="B81">
        <v>56.7</v>
      </c>
    </row>
    <row r="82" spans="1:2">
      <c r="A82">
        <v>81.2</v>
      </c>
      <c r="B82">
        <v>71.400000000000006</v>
      </c>
    </row>
    <row r="83" spans="1:2">
      <c r="A83">
        <v>63.8</v>
      </c>
      <c r="B83">
        <v>60.5</v>
      </c>
    </row>
    <row r="84" spans="1:2">
      <c r="A84">
        <v>64.7</v>
      </c>
      <c r="B84">
        <v>46.7</v>
      </c>
    </row>
    <row r="85" spans="1:2">
      <c r="A85">
        <v>60.4</v>
      </c>
      <c r="B85">
        <v>61</v>
      </c>
    </row>
    <row r="86" spans="1:2">
      <c r="A86">
        <v>66.599999999999994</v>
      </c>
      <c r="B86">
        <v>60.9</v>
      </c>
    </row>
    <row r="87" spans="1:2">
      <c r="A87">
        <v>50.9</v>
      </c>
      <c r="B87">
        <v>67.099999999999994</v>
      </c>
    </row>
    <row r="88" spans="1:2">
      <c r="A88">
        <v>51</v>
      </c>
      <c r="B88">
        <v>59.6</v>
      </c>
    </row>
    <row r="89" spans="1:2">
      <c r="A89">
        <v>65.8</v>
      </c>
      <c r="B89">
        <v>83.8</v>
      </c>
    </row>
    <row r="90" spans="1:2">
      <c r="A90">
        <v>61.8</v>
      </c>
      <c r="B90">
        <v>70.8</v>
      </c>
    </row>
    <row r="91" spans="1:2">
      <c r="A91">
        <v>54.5</v>
      </c>
      <c r="B91">
        <v>65.900000000000006</v>
      </c>
    </row>
    <row r="92" spans="1:2">
      <c r="A92">
        <v>72.2</v>
      </c>
      <c r="B92">
        <v>58</v>
      </c>
    </row>
    <row r="93" spans="1:2">
      <c r="A93">
        <v>42.3</v>
      </c>
      <c r="B93">
        <v>80.3</v>
      </c>
    </row>
    <row r="94" spans="1:2">
      <c r="A94">
        <v>76.2</v>
      </c>
      <c r="B94">
        <v>55.7</v>
      </c>
    </row>
    <row r="95" spans="1:2">
      <c r="A95">
        <v>37.4</v>
      </c>
      <c r="B95">
        <v>84.9</v>
      </c>
    </row>
    <row r="96" spans="1:2">
      <c r="A96">
        <v>84.2</v>
      </c>
      <c r="B96">
        <v>63.3</v>
      </c>
    </row>
    <row r="97" spans="1:2">
      <c r="A97">
        <v>68</v>
      </c>
      <c r="B97">
        <v>53.1</v>
      </c>
    </row>
    <row r="98" spans="1:2">
      <c r="A98">
        <v>53.5</v>
      </c>
      <c r="B98">
        <v>66</v>
      </c>
    </row>
    <row r="99" spans="1:2">
      <c r="A99">
        <v>63.2</v>
      </c>
      <c r="B99">
        <v>54.7</v>
      </c>
    </row>
    <row r="100" spans="1:2">
      <c r="A100">
        <v>55.9</v>
      </c>
      <c r="B100">
        <v>41.2</v>
      </c>
    </row>
    <row r="101" spans="1:2">
      <c r="A101">
        <v>63.5</v>
      </c>
      <c r="B101">
        <v>66.7</v>
      </c>
    </row>
    <row r="102" spans="1:2">
      <c r="A102">
        <v>51.5</v>
      </c>
      <c r="B102">
        <v>39.4</v>
      </c>
    </row>
    <row r="103" spans="1:2">
      <c r="A103">
        <v>74.400000000000006</v>
      </c>
      <c r="B103">
        <v>67</v>
      </c>
    </row>
    <row r="104" spans="1:2">
      <c r="A104">
        <v>60.2</v>
      </c>
      <c r="B104">
        <v>50.4</v>
      </c>
    </row>
    <row r="105" spans="1:2">
      <c r="A105">
        <v>67.2</v>
      </c>
      <c r="B105">
        <v>53.8</v>
      </c>
    </row>
    <row r="106" spans="1:2">
      <c r="A106">
        <v>79.599999999999994</v>
      </c>
      <c r="B106">
        <v>82.7</v>
      </c>
    </row>
    <row r="107" spans="1:2">
      <c r="A107">
        <v>61</v>
      </c>
      <c r="B107">
        <v>63.9</v>
      </c>
    </row>
    <row r="108" spans="1:2">
      <c r="A108">
        <v>51.1</v>
      </c>
      <c r="B108">
        <v>61.9</v>
      </c>
    </row>
    <row r="109" spans="1:2">
      <c r="A109">
        <v>92.1</v>
      </c>
      <c r="B109">
        <v>75</v>
      </c>
    </row>
    <row r="110" spans="1:2">
      <c r="A110">
        <v>82.1</v>
      </c>
      <c r="B110">
        <v>43</v>
      </c>
    </row>
    <row r="111" spans="1:2">
      <c r="A111">
        <v>74</v>
      </c>
      <c r="B111">
        <v>54.3</v>
      </c>
    </row>
    <row r="112" spans="1:2">
      <c r="A112">
        <v>63.4</v>
      </c>
      <c r="B112">
        <v>44.3</v>
      </c>
    </row>
    <row r="113" spans="1:2">
      <c r="A113">
        <v>53.2</v>
      </c>
      <c r="B113">
        <v>76</v>
      </c>
    </row>
    <row r="114" spans="1:2">
      <c r="A114">
        <v>48.1</v>
      </c>
      <c r="B114">
        <v>65.3</v>
      </c>
    </row>
    <row r="115" spans="1:2">
      <c r="A115">
        <v>61.5</v>
      </c>
      <c r="B115">
        <v>71.2</v>
      </c>
    </row>
    <row r="116" spans="1:2">
      <c r="A116">
        <v>63.2</v>
      </c>
      <c r="B116">
        <v>77.900000000000006</v>
      </c>
    </row>
    <row r="117" spans="1:2">
      <c r="A117">
        <v>71.900000000000006</v>
      </c>
      <c r="B117">
        <v>48.6</v>
      </c>
    </row>
    <row r="118" spans="1:2">
      <c r="A118">
        <v>62.7</v>
      </c>
      <c r="B118">
        <v>61.9</v>
      </c>
    </row>
    <row r="119" spans="1:2">
      <c r="A119">
        <v>51.5</v>
      </c>
      <c r="B119">
        <v>58.7</v>
      </c>
    </row>
    <row r="120" spans="1:2">
      <c r="A120">
        <v>39.1</v>
      </c>
      <c r="B120">
        <v>69.599999999999994</v>
      </c>
    </row>
    <row r="121" spans="1:2">
      <c r="A121">
        <v>43.8</v>
      </c>
      <c r="B121">
        <v>51.5</v>
      </c>
    </row>
    <row r="122" spans="1:2">
      <c r="A122">
        <v>59.9</v>
      </c>
      <c r="B122">
        <v>46</v>
      </c>
    </row>
    <row r="123" spans="1:2">
      <c r="A123">
        <v>71.400000000000006</v>
      </c>
      <c r="B123">
        <v>81.7</v>
      </c>
    </row>
    <row r="124" spans="1:2">
      <c r="A124">
        <v>36.1</v>
      </c>
      <c r="B124">
        <v>48.3</v>
      </c>
    </row>
    <row r="125" spans="1:2">
      <c r="A125">
        <v>47.9</v>
      </c>
      <c r="B125">
        <v>85.6</v>
      </c>
    </row>
    <row r="126" spans="1:2">
      <c r="A126">
        <v>62.5</v>
      </c>
      <c r="B126">
        <v>53.8</v>
      </c>
    </row>
    <row r="127" spans="1:2">
      <c r="A127">
        <v>56.9</v>
      </c>
      <c r="B127">
        <v>69.7</v>
      </c>
    </row>
    <row r="128" spans="1:2">
      <c r="A128">
        <v>64.7</v>
      </c>
      <c r="B128">
        <v>74.8</v>
      </c>
    </row>
    <row r="129" spans="1:2">
      <c r="A129">
        <v>64</v>
      </c>
      <c r="B129">
        <v>87.9</v>
      </c>
    </row>
    <row r="130" spans="1:2">
      <c r="A130">
        <v>75.2</v>
      </c>
      <c r="B130">
        <v>49.1</v>
      </c>
    </row>
    <row r="131" spans="1:2">
      <c r="A131">
        <v>79</v>
      </c>
      <c r="B131">
        <v>73</v>
      </c>
    </row>
    <row r="132" spans="1:2">
      <c r="A132">
        <v>33</v>
      </c>
      <c r="B132">
        <v>79.5</v>
      </c>
    </row>
    <row r="133" spans="1:2">
      <c r="A133">
        <v>67.900000000000006</v>
      </c>
      <c r="B133">
        <v>93.2</v>
      </c>
    </row>
    <row r="134" spans="1:2">
      <c r="A134">
        <v>42.2</v>
      </c>
      <c r="B134">
        <v>77.5</v>
      </c>
    </row>
    <row r="135" spans="1:2">
      <c r="A135">
        <v>43.4</v>
      </c>
      <c r="B135">
        <v>61</v>
      </c>
    </row>
    <row r="136" spans="1:2">
      <c r="A136">
        <v>54.4</v>
      </c>
      <c r="B136">
        <v>64.900000000000006</v>
      </c>
    </row>
    <row r="137" spans="1:2">
      <c r="A137">
        <v>45.7</v>
      </c>
      <c r="B137">
        <v>87.5</v>
      </c>
    </row>
    <row r="138" spans="1:2">
      <c r="A138">
        <v>32</v>
      </c>
      <c r="B138">
        <v>80.599999999999994</v>
      </c>
    </row>
    <row r="139" spans="1:2">
      <c r="A139">
        <v>70.900000000000006</v>
      </c>
      <c r="B139">
        <v>66.900000000000006</v>
      </c>
    </row>
    <row r="140" spans="1:2">
      <c r="A140">
        <v>59.1</v>
      </c>
      <c r="B140">
        <v>58.8</v>
      </c>
    </row>
    <row r="141" spans="1:2">
      <c r="A141">
        <v>62.4</v>
      </c>
      <c r="B141">
        <v>42.9</v>
      </c>
    </row>
    <row r="142" spans="1:2">
      <c r="A142">
        <v>49.6</v>
      </c>
      <c r="B142">
        <v>60.2</v>
      </c>
    </row>
    <row r="143" spans="1:2">
      <c r="A143">
        <v>80.599999999999994</v>
      </c>
      <c r="B143">
        <v>42.7</v>
      </c>
    </row>
    <row r="144" spans="1:2">
      <c r="A144">
        <v>47.9</v>
      </c>
      <c r="B144">
        <v>60.8</v>
      </c>
    </row>
    <row r="145" spans="1:2">
      <c r="A145">
        <v>54.8</v>
      </c>
      <c r="B145">
        <v>79.3</v>
      </c>
    </row>
    <row r="146" spans="1:2">
      <c r="A146">
        <v>53.9</v>
      </c>
      <c r="B146">
        <v>88.6</v>
      </c>
    </row>
    <row r="147" spans="1:2">
      <c r="A147">
        <v>41.3</v>
      </c>
      <c r="B147">
        <v>63.1</v>
      </c>
    </row>
    <row r="148" spans="1:2">
      <c r="A148">
        <v>38.9</v>
      </c>
      <c r="B148">
        <v>39.700000000000003</v>
      </c>
    </row>
    <row r="149" spans="1:2">
      <c r="A149">
        <v>63.6</v>
      </c>
      <c r="B149">
        <v>67.2</v>
      </c>
    </row>
    <row r="150" spans="1:2">
      <c r="A150">
        <v>76.599999999999994</v>
      </c>
      <c r="B150">
        <v>62.3</v>
      </c>
    </row>
    <row r="151" spans="1:2">
      <c r="A151">
        <v>67.599999999999994</v>
      </c>
      <c r="B151">
        <v>60.7</v>
      </c>
    </row>
    <row r="152" spans="1:2">
      <c r="A152">
        <v>43.1</v>
      </c>
      <c r="B152">
        <v>61.5</v>
      </c>
    </row>
    <row r="153" spans="1:2">
      <c r="A153">
        <v>58.3</v>
      </c>
      <c r="B153">
        <v>75</v>
      </c>
    </row>
    <row r="154" spans="1:2">
      <c r="A154">
        <v>69.8</v>
      </c>
      <c r="B154">
        <v>51.9</v>
      </c>
    </row>
    <row r="155" spans="1:2">
      <c r="A155">
        <v>41.9</v>
      </c>
      <c r="B155">
        <v>34.5</v>
      </c>
    </row>
    <row r="156" spans="1:2">
      <c r="A156">
        <v>33.1</v>
      </c>
      <c r="B156">
        <v>54.5</v>
      </c>
    </row>
    <row r="157" spans="1:2">
      <c r="A157">
        <v>58.6</v>
      </c>
      <c r="B157">
        <v>46</v>
      </c>
    </row>
    <row r="158" spans="1:2">
      <c r="A158">
        <v>55.7</v>
      </c>
      <c r="B158">
        <v>88.4</v>
      </c>
    </row>
    <row r="159" spans="1:2">
      <c r="A159">
        <v>64.900000000000006</v>
      </c>
      <c r="B159">
        <v>69.5</v>
      </c>
    </row>
    <row r="160" spans="1:2">
      <c r="A160">
        <v>72.3</v>
      </c>
      <c r="B160">
        <v>74.2</v>
      </c>
    </row>
    <row r="161" spans="1:2">
      <c r="A161">
        <v>42.1</v>
      </c>
      <c r="B161">
        <v>72.099999999999994</v>
      </c>
    </row>
    <row r="162" spans="1:2">
      <c r="A162">
        <v>64.8</v>
      </c>
      <c r="B162">
        <v>85.1</v>
      </c>
    </row>
    <row r="163" spans="1:2">
      <c r="A163">
        <v>72.099999999999994</v>
      </c>
      <c r="B163">
        <v>49.5</v>
      </c>
    </row>
    <row r="164" spans="1:2">
      <c r="A164">
        <v>50.6</v>
      </c>
      <c r="B164">
        <v>79</v>
      </c>
    </row>
    <row r="165" spans="1:2">
      <c r="A165">
        <v>43.4</v>
      </c>
      <c r="B165">
        <v>71.8</v>
      </c>
    </row>
    <row r="166" spans="1:2">
      <c r="A166">
        <v>59.7</v>
      </c>
      <c r="B166">
        <v>60.4</v>
      </c>
    </row>
    <row r="167" spans="1:2">
      <c r="A167">
        <v>54.5</v>
      </c>
      <c r="B167">
        <v>38.299999999999997</v>
      </c>
    </row>
    <row r="168" spans="1:2">
      <c r="A168">
        <v>71.099999999999994</v>
      </c>
      <c r="B168">
        <v>79.599999999999994</v>
      </c>
    </row>
    <row r="169" spans="1:2">
      <c r="A169">
        <v>44.4</v>
      </c>
      <c r="B169">
        <v>71.900000000000006</v>
      </c>
    </row>
    <row r="170" spans="1:2">
      <c r="A170">
        <v>61.7</v>
      </c>
      <c r="B170">
        <v>54.6</v>
      </c>
    </row>
    <row r="171" spans="1:2">
      <c r="A171">
        <v>81.3</v>
      </c>
      <c r="B171">
        <v>49.3</v>
      </c>
    </row>
    <row r="172" spans="1:2">
      <c r="A172">
        <v>28.7</v>
      </c>
      <c r="B172">
        <v>66.900000000000006</v>
      </c>
    </row>
    <row r="173" spans="1:2">
      <c r="A173">
        <v>53</v>
      </c>
      <c r="B173">
        <v>77.8</v>
      </c>
    </row>
    <row r="174" spans="1:2">
      <c r="A174">
        <v>54.9</v>
      </c>
      <c r="B174">
        <v>63</v>
      </c>
    </row>
    <row r="175" spans="1:2">
      <c r="A175">
        <v>58.2</v>
      </c>
      <c r="B175">
        <v>79.8</v>
      </c>
    </row>
    <row r="176" spans="1:2">
      <c r="A176">
        <v>80.599999999999994</v>
      </c>
      <c r="B176">
        <v>69.900000000000006</v>
      </c>
    </row>
    <row r="177" spans="1:2">
      <c r="A177">
        <v>38.4</v>
      </c>
      <c r="B177">
        <v>66.400000000000006</v>
      </c>
    </row>
    <row r="178" spans="1:2">
      <c r="A178">
        <v>56.1</v>
      </c>
      <c r="B178">
        <v>27.6</v>
      </c>
    </row>
    <row r="179" spans="1:2">
      <c r="A179">
        <v>62.6</v>
      </c>
      <c r="B179">
        <v>56.5</v>
      </c>
    </row>
    <row r="180" spans="1:2">
      <c r="A180">
        <v>36.299999999999997</v>
      </c>
      <c r="B180">
        <v>67.8</v>
      </c>
    </row>
    <row r="181" spans="1:2">
      <c r="A181">
        <v>52.1</v>
      </c>
      <c r="B181">
        <v>80</v>
      </c>
    </row>
    <row r="182" spans="1:2">
      <c r="A182">
        <v>45.1</v>
      </c>
      <c r="B182">
        <v>80.900000000000006</v>
      </c>
    </row>
    <row r="183" spans="1:2">
      <c r="A183">
        <v>67.5</v>
      </c>
      <c r="B183">
        <v>34.5</v>
      </c>
    </row>
    <row r="184" spans="1:2">
      <c r="A184">
        <v>80</v>
      </c>
      <c r="B184">
        <v>73.5</v>
      </c>
    </row>
    <row r="185" spans="1:2">
      <c r="A185">
        <v>56.4</v>
      </c>
      <c r="B185">
        <v>70</v>
      </c>
    </row>
    <row r="186" spans="1:2">
      <c r="A186">
        <v>55.4</v>
      </c>
      <c r="B186">
        <v>86.9</v>
      </c>
    </row>
    <row r="187" spans="1:2">
      <c r="A187">
        <v>67.900000000000006</v>
      </c>
      <c r="B187">
        <v>66.900000000000006</v>
      </c>
    </row>
    <row r="188" spans="1:2">
      <c r="A188">
        <v>62.5</v>
      </c>
      <c r="B188">
        <v>58.3</v>
      </c>
    </row>
    <row r="189" spans="1:2">
      <c r="A189">
        <v>54.3</v>
      </c>
      <c r="B189">
        <v>45</v>
      </c>
    </row>
    <row r="190" spans="1:2">
      <c r="A190">
        <v>37.5</v>
      </c>
      <c r="B190">
        <v>60.8</v>
      </c>
    </row>
    <row r="191" spans="1:2">
      <c r="A191">
        <v>52.6</v>
      </c>
      <c r="B191">
        <v>53.7</v>
      </c>
    </row>
    <row r="192" spans="1:2">
      <c r="A192">
        <v>46.1</v>
      </c>
      <c r="B192">
        <v>48.8</v>
      </c>
    </row>
    <row r="193" spans="1:2">
      <c r="A193">
        <v>54.7</v>
      </c>
      <c r="B193">
        <v>52.9</v>
      </c>
    </row>
    <row r="194" spans="1:2">
      <c r="A194">
        <v>74.2</v>
      </c>
      <c r="B194">
        <v>42.4</v>
      </c>
    </row>
    <row r="195" spans="1:2">
      <c r="A195">
        <v>64.7</v>
      </c>
      <c r="B195">
        <v>58.7</v>
      </c>
    </row>
    <row r="196" spans="1:2">
      <c r="A196">
        <v>65.900000000000006</v>
      </c>
      <c r="B196">
        <v>67.8</v>
      </c>
    </row>
    <row r="197" spans="1:2">
      <c r="A197">
        <v>64</v>
      </c>
      <c r="B197">
        <v>62.6</v>
      </c>
    </row>
    <row r="198" spans="1:2">
      <c r="A198">
        <v>57.2</v>
      </c>
      <c r="B198">
        <v>82.4</v>
      </c>
    </row>
    <row r="199" spans="1:2">
      <c r="A199">
        <v>80.5</v>
      </c>
      <c r="B199">
        <v>50.4</v>
      </c>
    </row>
    <row r="200" spans="1:2">
      <c r="A200">
        <v>53.9</v>
      </c>
      <c r="B200">
        <v>68.400000000000006</v>
      </c>
    </row>
    <row r="201" spans="1:2">
      <c r="A201">
        <v>77.5</v>
      </c>
      <c r="B201">
        <v>58.8</v>
      </c>
    </row>
    <row r="202" spans="1:2">
      <c r="A202">
        <v>84.2</v>
      </c>
      <c r="B202">
        <v>28.3</v>
      </c>
    </row>
    <row r="203" spans="1:2">
      <c r="A203">
        <v>54.9</v>
      </c>
      <c r="B203">
        <v>44.1</v>
      </c>
    </row>
    <row r="204" spans="1:2">
      <c r="A204">
        <v>69.3</v>
      </c>
      <c r="B204">
        <v>66.7</v>
      </c>
    </row>
    <row r="205" spans="1:2">
      <c r="A205">
        <v>42.3</v>
      </c>
      <c r="B205">
        <v>100</v>
      </c>
    </row>
    <row r="206" spans="1:2">
      <c r="A206">
        <v>69.599999999999994</v>
      </c>
      <c r="B206">
        <v>87.5</v>
      </c>
    </row>
    <row r="207" spans="1:2">
      <c r="A207">
        <v>40.700000000000003</v>
      </c>
      <c r="B207">
        <v>65.400000000000006</v>
      </c>
    </row>
    <row r="208" spans="1:2">
      <c r="A208">
        <v>54</v>
      </c>
      <c r="B208">
        <v>22.9</v>
      </c>
    </row>
    <row r="209" spans="1:2">
      <c r="A209">
        <v>46.3</v>
      </c>
      <c r="B209">
        <v>64.599999999999994</v>
      </c>
    </row>
    <row r="210" spans="1:2">
      <c r="A210">
        <v>64.2</v>
      </c>
      <c r="B210">
        <v>54.4</v>
      </c>
    </row>
    <row r="211" spans="1:2">
      <c r="A211">
        <v>75.2</v>
      </c>
      <c r="B211">
        <v>56.8</v>
      </c>
    </row>
    <row r="212" spans="1:2">
      <c r="A212">
        <v>60.9</v>
      </c>
      <c r="B212">
        <v>63.6</v>
      </c>
    </row>
    <row r="213" spans="1:2">
      <c r="A213">
        <v>62.1</v>
      </c>
      <c r="B213">
        <v>58.2</v>
      </c>
    </row>
    <row r="214" spans="1:2">
      <c r="A214">
        <v>45.4</v>
      </c>
      <c r="B214">
        <v>54.6</v>
      </c>
    </row>
    <row r="215" spans="1:2">
      <c r="A215">
        <v>53.3</v>
      </c>
      <c r="B215">
        <v>81.900000000000006</v>
      </c>
    </row>
    <row r="216" spans="1:2">
      <c r="A216">
        <v>38.200000000000003</v>
      </c>
      <c r="B216">
        <v>53.3</v>
      </c>
    </row>
    <row r="217" spans="1:2">
      <c r="A217">
        <v>59</v>
      </c>
      <c r="B217">
        <v>54.2</v>
      </c>
    </row>
    <row r="218" spans="1:2">
      <c r="A218">
        <v>80.599999999999994</v>
      </c>
      <c r="B218">
        <v>65.599999999999994</v>
      </c>
    </row>
    <row r="219" spans="1:2">
      <c r="A219">
        <v>67</v>
      </c>
      <c r="B219">
        <v>56.5</v>
      </c>
    </row>
    <row r="220" spans="1:2">
      <c r="A220">
        <v>72.099999999999994</v>
      </c>
      <c r="B220">
        <v>59.7</v>
      </c>
    </row>
    <row r="221" spans="1:2">
      <c r="A221">
        <v>74.099999999999994</v>
      </c>
      <c r="B221">
        <v>72.5</v>
      </c>
    </row>
    <row r="222" spans="1:2">
      <c r="A222">
        <v>84.8</v>
      </c>
      <c r="B222">
        <v>64.3</v>
      </c>
    </row>
    <row r="223" spans="1:2">
      <c r="A223">
        <v>33</v>
      </c>
      <c r="B223">
        <v>64.5</v>
      </c>
    </row>
    <row r="224" spans="1:2">
      <c r="A224">
        <v>52.5</v>
      </c>
      <c r="B224">
        <v>70.599999999999994</v>
      </c>
    </row>
    <row r="225" spans="1:2">
      <c r="A225">
        <v>66.900000000000006</v>
      </c>
      <c r="B225">
        <v>58.4</v>
      </c>
    </row>
    <row r="226" spans="1:2">
      <c r="A226">
        <v>32.700000000000003</v>
      </c>
      <c r="B226">
        <v>56.6</v>
      </c>
    </row>
    <row r="227" spans="1:2">
      <c r="A227">
        <v>70.599999999999994</v>
      </c>
      <c r="B227">
        <v>61.8</v>
      </c>
    </row>
    <row r="228" spans="1:2">
      <c r="A228">
        <v>69.400000000000006</v>
      </c>
      <c r="B228">
        <v>43.4</v>
      </c>
    </row>
    <row r="229" spans="1:2">
      <c r="A229">
        <v>56.1</v>
      </c>
      <c r="B229">
        <v>43</v>
      </c>
    </row>
    <row r="230" spans="1:2">
      <c r="A230">
        <v>55.8</v>
      </c>
      <c r="B230">
        <v>51.1</v>
      </c>
    </row>
    <row r="231" spans="1:2">
      <c r="A231">
        <v>49.3</v>
      </c>
      <c r="B231">
        <v>48.8</v>
      </c>
    </row>
    <row r="232" spans="1:2">
      <c r="A232">
        <v>71.8</v>
      </c>
      <c r="B232">
        <v>73.2</v>
      </c>
    </row>
    <row r="233" spans="1:2">
      <c r="A233">
        <v>39.700000000000003</v>
      </c>
      <c r="B233">
        <v>80</v>
      </c>
    </row>
    <row r="234" spans="1:2">
      <c r="A234">
        <v>45.4</v>
      </c>
      <c r="B234">
        <v>52.3</v>
      </c>
    </row>
    <row r="235" spans="1:2">
      <c r="A235">
        <v>69.900000000000006</v>
      </c>
      <c r="B235">
        <v>49.1</v>
      </c>
    </row>
    <row r="236" spans="1:2">
      <c r="A236">
        <v>56.1</v>
      </c>
      <c r="B236">
        <v>45.3</v>
      </c>
    </row>
    <row r="237" spans="1:2">
      <c r="A237">
        <v>45.9</v>
      </c>
      <c r="B237">
        <v>49.1</v>
      </c>
    </row>
    <row r="238" spans="1:2">
      <c r="A238">
        <v>65.8</v>
      </c>
      <c r="B238">
        <v>88.6</v>
      </c>
    </row>
    <row r="239" spans="1:2">
      <c r="A239">
        <v>48.2</v>
      </c>
      <c r="B239">
        <v>54.4</v>
      </c>
    </row>
    <row r="240" spans="1:2">
      <c r="A240">
        <v>81.099999999999994</v>
      </c>
      <c r="B240">
        <v>72.900000000000006</v>
      </c>
    </row>
    <row r="241" spans="1:2">
      <c r="A241">
        <v>53.2</v>
      </c>
      <c r="B241">
        <v>53.2</v>
      </c>
    </row>
    <row r="242" spans="1:2">
      <c r="A242">
        <v>57.7</v>
      </c>
      <c r="B242">
        <v>48.7</v>
      </c>
    </row>
    <row r="243" spans="1:2">
      <c r="A243">
        <v>78.900000000000006</v>
      </c>
      <c r="B243">
        <v>59.9</v>
      </c>
    </row>
    <row r="244" spans="1:2">
      <c r="A244">
        <v>55.7</v>
      </c>
      <c r="B244">
        <v>82</v>
      </c>
    </row>
    <row r="245" spans="1:2">
      <c r="A245">
        <v>52.3</v>
      </c>
      <c r="B245">
        <v>72.099999999999994</v>
      </c>
    </row>
    <row r="246" spans="1:2">
      <c r="A246">
        <v>51.5</v>
      </c>
      <c r="B246">
        <v>68.3</v>
      </c>
    </row>
    <row r="247" spans="1:2">
      <c r="A247">
        <v>70.8</v>
      </c>
      <c r="B247">
        <v>100</v>
      </c>
    </row>
    <row r="248" spans="1:2">
      <c r="A248">
        <v>39</v>
      </c>
      <c r="B248">
        <v>76.5</v>
      </c>
    </row>
    <row r="249" spans="1:2">
      <c r="A249">
        <v>61.6</v>
      </c>
      <c r="B249">
        <v>62</v>
      </c>
    </row>
    <row r="250" spans="1:2">
      <c r="A250">
        <v>46.8</v>
      </c>
      <c r="B250">
        <v>50.1</v>
      </c>
    </row>
    <row r="251" spans="1:2">
      <c r="A251">
        <v>58.5</v>
      </c>
      <c r="B251">
        <v>62.1</v>
      </c>
    </row>
    <row r="252" spans="1:2">
      <c r="A252">
        <v>70.900000000000006</v>
      </c>
      <c r="B252">
        <v>49.7</v>
      </c>
    </row>
    <row r="253" spans="1:2">
      <c r="A253">
        <v>48.4</v>
      </c>
      <c r="B253">
        <v>71.099999999999994</v>
      </c>
    </row>
    <row r="254" spans="1:2">
      <c r="A254">
        <v>58</v>
      </c>
      <c r="B254">
        <v>70.8</v>
      </c>
    </row>
    <row r="255" spans="1:2">
      <c r="A255">
        <v>61.6</v>
      </c>
      <c r="B255">
        <v>52.2</v>
      </c>
    </row>
    <row r="256" spans="1:2">
      <c r="A256">
        <v>43.2</v>
      </c>
      <c r="B256">
        <v>73</v>
      </c>
    </row>
    <row r="257" spans="1:2">
      <c r="A257">
        <v>53.3</v>
      </c>
      <c r="B257">
        <v>78.2</v>
      </c>
    </row>
    <row r="258" spans="1:2">
      <c r="A258">
        <v>33.9</v>
      </c>
      <c r="B258">
        <v>68.8</v>
      </c>
    </row>
    <row r="259" spans="1:2">
      <c r="A259">
        <v>35.4</v>
      </c>
      <c r="B259">
        <v>57.1</v>
      </c>
    </row>
    <row r="260" spans="1:2">
      <c r="A260">
        <v>45</v>
      </c>
      <c r="B260">
        <v>74.599999999999994</v>
      </c>
    </row>
    <row r="261" spans="1:2">
      <c r="A261">
        <v>86.5</v>
      </c>
      <c r="B261">
        <v>64.099999999999994</v>
      </c>
    </row>
    <row r="262" spans="1:2">
      <c r="A262">
        <v>58.1</v>
      </c>
      <c r="B262">
        <v>67.3</v>
      </c>
    </row>
    <row r="263" spans="1:2">
      <c r="A263">
        <v>36.1</v>
      </c>
      <c r="B263">
        <v>41</v>
      </c>
    </row>
    <row r="264" spans="1:2">
      <c r="A264">
        <v>62.8</v>
      </c>
      <c r="B264">
        <v>48.1</v>
      </c>
    </row>
    <row r="265" spans="1:2">
      <c r="A265">
        <v>54.2</v>
      </c>
      <c r="B265">
        <v>60.8</v>
      </c>
    </row>
    <row r="266" spans="1:2">
      <c r="A266">
        <v>50</v>
      </c>
      <c r="B266">
        <v>63.1</v>
      </c>
    </row>
    <row r="267" spans="1:2">
      <c r="A267">
        <v>62</v>
      </c>
      <c r="B267">
        <v>49.7</v>
      </c>
    </row>
    <row r="268" spans="1:2">
      <c r="A268">
        <v>29.3</v>
      </c>
      <c r="B268">
        <v>83.4</v>
      </c>
    </row>
    <row r="269" spans="1:2">
      <c r="A269">
        <v>67.900000000000006</v>
      </c>
      <c r="B269">
        <v>75.900000000000006</v>
      </c>
    </row>
    <row r="270" spans="1:2">
      <c r="A270">
        <v>67.599999999999994</v>
      </c>
      <c r="B270">
        <v>71.8</v>
      </c>
    </row>
    <row r="271" spans="1:2">
      <c r="A271">
        <v>67.400000000000006</v>
      </c>
      <c r="B271">
        <v>37.9</v>
      </c>
    </row>
    <row r="272" spans="1:2">
      <c r="A272">
        <v>53</v>
      </c>
      <c r="B272">
        <v>59.8</v>
      </c>
    </row>
    <row r="273" spans="1:2">
      <c r="A273">
        <v>65.5</v>
      </c>
      <c r="B273">
        <v>66.900000000000006</v>
      </c>
    </row>
    <row r="274" spans="1:2">
      <c r="A274">
        <v>49.6</v>
      </c>
      <c r="B274">
        <v>59</v>
      </c>
    </row>
    <row r="275" spans="1:2">
      <c r="A275">
        <v>74.5</v>
      </c>
      <c r="B275">
        <v>80.099999999999994</v>
      </c>
    </row>
    <row r="276" spans="1:2">
      <c r="A276">
        <v>46.9</v>
      </c>
      <c r="B276">
        <v>64.3</v>
      </c>
    </row>
    <row r="277" spans="1:2">
      <c r="A277">
        <v>87.1</v>
      </c>
      <c r="B277">
        <v>57.4</v>
      </c>
    </row>
    <row r="278" spans="1:2">
      <c r="A278">
        <v>56</v>
      </c>
      <c r="B278">
        <v>83.6</v>
      </c>
    </row>
    <row r="279" spans="1:2">
      <c r="A279">
        <v>61.7</v>
      </c>
      <c r="B279">
        <v>45.8</v>
      </c>
    </row>
    <row r="280" spans="1:2">
      <c r="A280">
        <v>70.5</v>
      </c>
      <c r="B280">
        <v>64.3</v>
      </c>
    </row>
    <row r="281" spans="1:2">
      <c r="A281">
        <v>33.4</v>
      </c>
      <c r="B281">
        <v>80.5</v>
      </c>
    </row>
    <row r="282" spans="1:2">
      <c r="A282">
        <v>57.5</v>
      </c>
      <c r="B282">
        <v>46.3</v>
      </c>
    </row>
    <row r="283" spans="1:2">
      <c r="A283">
        <v>85.7</v>
      </c>
      <c r="B283">
        <v>71.599999999999994</v>
      </c>
    </row>
    <row r="284" spans="1:2">
      <c r="A284">
        <v>41.9</v>
      </c>
      <c r="B284">
        <v>57.8</v>
      </c>
    </row>
    <row r="285" spans="1:2">
      <c r="A285">
        <v>70.2</v>
      </c>
      <c r="B285">
        <v>57.8</v>
      </c>
    </row>
    <row r="286" spans="1:2">
      <c r="A286">
        <v>42.6</v>
      </c>
      <c r="B286">
        <v>38.299999999999997</v>
      </c>
    </row>
    <row r="287" spans="1:2">
      <c r="A287">
        <v>30.4</v>
      </c>
      <c r="B287">
        <v>66.099999999999994</v>
      </c>
    </row>
    <row r="288" spans="1:2">
      <c r="A288">
        <v>63.7</v>
      </c>
      <c r="B288">
        <v>66.5</v>
      </c>
    </row>
    <row r="289" spans="1:2">
      <c r="A289">
        <v>42.7</v>
      </c>
      <c r="B289">
        <v>51.5</v>
      </c>
    </row>
    <row r="290" spans="1:2">
      <c r="A290">
        <v>74.3</v>
      </c>
      <c r="B290">
        <v>59.9</v>
      </c>
    </row>
    <row r="291" spans="1:2">
      <c r="A291">
        <v>40.6</v>
      </c>
      <c r="B291">
        <v>58.8</v>
      </c>
    </row>
    <row r="292" spans="1:2">
      <c r="A292">
        <v>67</v>
      </c>
      <c r="B292">
        <v>69.599999999999994</v>
      </c>
    </row>
    <row r="293" spans="1:2">
      <c r="A293">
        <v>51</v>
      </c>
      <c r="B293">
        <v>77.5</v>
      </c>
    </row>
    <row r="294" spans="1:2">
      <c r="A294">
        <v>54.8</v>
      </c>
      <c r="B294">
        <v>57.5</v>
      </c>
    </row>
    <row r="295" spans="1:2">
      <c r="A295">
        <v>40.799999999999997</v>
      </c>
      <c r="B295">
        <v>64.2</v>
      </c>
    </row>
    <row r="296" spans="1:2">
      <c r="A296">
        <v>48.8</v>
      </c>
      <c r="B296">
        <v>60</v>
      </c>
    </row>
    <row r="297" spans="1:2">
      <c r="A297">
        <v>88.9</v>
      </c>
      <c r="B297">
        <v>43.7</v>
      </c>
    </row>
    <row r="298" spans="1:2">
      <c r="A298">
        <v>60.5</v>
      </c>
      <c r="B298">
        <v>64.900000000000006</v>
      </c>
    </row>
    <row r="299" spans="1:2">
      <c r="A299">
        <v>63.6</v>
      </c>
      <c r="B299">
        <v>45.5</v>
      </c>
    </row>
    <row r="300" spans="1:2">
      <c r="A300">
        <v>58.4</v>
      </c>
      <c r="B300">
        <v>61.2</v>
      </c>
    </row>
    <row r="301" spans="1:2">
      <c r="A301">
        <v>52.7</v>
      </c>
      <c r="B301">
        <v>87.8</v>
      </c>
    </row>
    <row r="302" spans="1:2">
      <c r="A302">
        <v>48.9</v>
      </c>
      <c r="B302">
        <v>86.4</v>
      </c>
    </row>
    <row r="303" spans="1:2">
      <c r="A303">
        <v>79.7</v>
      </c>
      <c r="B303">
        <v>71.400000000000006</v>
      </c>
    </row>
    <row r="304" spans="1:2">
      <c r="A304">
        <v>44.9</v>
      </c>
      <c r="B304">
        <v>72.2</v>
      </c>
    </row>
    <row r="305" spans="1:2">
      <c r="A305">
        <v>38.799999999999997</v>
      </c>
      <c r="B305">
        <v>51.9</v>
      </c>
    </row>
    <row r="306" spans="1:2">
      <c r="A306">
        <v>70</v>
      </c>
      <c r="B306">
        <v>70.3</v>
      </c>
    </row>
    <row r="307" spans="1:2">
      <c r="A307">
        <v>77.7</v>
      </c>
      <c r="B307">
        <v>49.2</v>
      </c>
    </row>
    <row r="308" spans="1:2">
      <c r="A308">
        <v>71.2</v>
      </c>
      <c r="B308">
        <v>52.2</v>
      </c>
    </row>
    <row r="309" spans="1:2">
      <c r="A309">
        <v>43.8</v>
      </c>
      <c r="B309">
        <v>62.6</v>
      </c>
    </row>
    <row r="310" spans="1:2">
      <c r="A310">
        <v>50.9</v>
      </c>
      <c r="B310">
        <v>100</v>
      </c>
    </row>
    <row r="311" spans="1:2">
      <c r="A311">
        <v>58.5</v>
      </c>
      <c r="B311">
        <v>45.9</v>
      </c>
    </row>
    <row r="312" spans="1:2">
      <c r="A312">
        <v>53.6</v>
      </c>
      <c r="B312">
        <v>80.7</v>
      </c>
    </row>
    <row r="313" spans="1:2">
      <c r="A313">
        <v>54.9</v>
      </c>
      <c r="B313">
        <v>51.9</v>
      </c>
    </row>
    <row r="314" spans="1:2">
      <c r="A314">
        <v>57.3</v>
      </c>
      <c r="B314">
        <v>68.900000000000006</v>
      </c>
    </row>
    <row r="315" spans="1:2">
      <c r="A315">
        <v>52.1</v>
      </c>
      <c r="B315">
        <v>66</v>
      </c>
    </row>
    <row r="316" spans="1:2">
      <c r="A316">
        <v>80</v>
      </c>
      <c r="B316">
        <v>63.1</v>
      </c>
    </row>
    <row r="317" spans="1:2">
      <c r="A317">
        <v>39.299999999999997</v>
      </c>
      <c r="B317">
        <v>56</v>
      </c>
    </row>
    <row r="318" spans="1:2">
      <c r="A318">
        <v>45.7</v>
      </c>
      <c r="B318">
        <v>65.7</v>
      </c>
    </row>
    <row r="319" spans="1:2">
      <c r="A319">
        <v>61.2</v>
      </c>
      <c r="B319">
        <v>60.9</v>
      </c>
    </row>
    <row r="320" spans="1:2">
      <c r="A320">
        <v>66.2</v>
      </c>
      <c r="B320">
        <v>45.5</v>
      </c>
    </row>
    <row r="321" spans="1:2">
      <c r="A321">
        <v>61.3</v>
      </c>
      <c r="B321">
        <v>50</v>
      </c>
    </row>
    <row r="322" spans="1:2">
      <c r="A322">
        <v>72.2</v>
      </c>
      <c r="B322">
        <v>72.099999999999994</v>
      </c>
    </row>
    <row r="323" spans="1:2">
      <c r="A323">
        <v>84</v>
      </c>
      <c r="B323">
        <v>76.3</v>
      </c>
    </row>
    <row r="324" spans="1:2">
      <c r="A324">
        <v>59.8</v>
      </c>
      <c r="B324">
        <v>54.8</v>
      </c>
    </row>
    <row r="325" spans="1:2">
      <c r="A325">
        <v>64.900000000000006</v>
      </c>
      <c r="B325">
        <v>63.6</v>
      </c>
    </row>
    <row r="326" spans="1:2">
      <c r="A326">
        <v>66.8</v>
      </c>
      <c r="B326">
        <v>68.8</v>
      </c>
    </row>
    <row r="327" spans="1:2">
      <c r="A327">
        <v>70.900000000000006</v>
      </c>
      <c r="B327">
        <v>63.2</v>
      </c>
    </row>
    <row r="328" spans="1:2">
      <c r="A328">
        <v>68.8</v>
      </c>
      <c r="B328">
        <v>45</v>
      </c>
    </row>
    <row r="329" spans="1:2">
      <c r="A329">
        <v>72.400000000000006</v>
      </c>
      <c r="B329">
        <v>77.400000000000006</v>
      </c>
    </row>
    <row r="330" spans="1:2">
      <c r="A330">
        <v>63.3</v>
      </c>
      <c r="B330">
        <v>53.1</v>
      </c>
    </row>
    <row r="331" spans="1:2">
      <c r="A331">
        <v>30.8</v>
      </c>
      <c r="B331">
        <v>74</v>
      </c>
    </row>
    <row r="332" spans="1:2">
      <c r="A332">
        <v>44.2</v>
      </c>
      <c r="B332">
        <v>84.6</v>
      </c>
    </row>
    <row r="333" spans="1:2">
      <c r="A333">
        <v>56.2</v>
      </c>
      <c r="B333">
        <v>57</v>
      </c>
    </row>
    <row r="334" spans="1:2">
      <c r="A334">
        <v>40.4</v>
      </c>
      <c r="B334">
        <v>46.3</v>
      </c>
    </row>
    <row r="335" spans="1:2">
      <c r="A335">
        <v>68.099999999999994</v>
      </c>
      <c r="B335">
        <v>64.400000000000006</v>
      </c>
    </row>
    <row r="336" spans="1:2">
      <c r="A336">
        <v>86.3</v>
      </c>
      <c r="B336">
        <v>61.9</v>
      </c>
    </row>
    <row r="337" spans="1:2">
      <c r="A337">
        <v>42.9</v>
      </c>
      <c r="B337">
        <v>93.7</v>
      </c>
    </row>
    <row r="338" spans="1:2">
      <c r="A338">
        <v>61.4</v>
      </c>
      <c r="B338">
        <v>61.6</v>
      </c>
    </row>
    <row r="339" spans="1:2">
      <c r="A339">
        <v>73.3</v>
      </c>
      <c r="B339">
        <v>72.2</v>
      </c>
    </row>
    <row r="340" spans="1:2">
      <c r="A340">
        <v>59.4</v>
      </c>
      <c r="B340">
        <v>69.5</v>
      </c>
    </row>
    <row r="341" spans="1:2">
      <c r="A341">
        <v>35.200000000000003</v>
      </c>
      <c r="B341">
        <v>59.7</v>
      </c>
    </row>
    <row r="342" spans="1:2">
      <c r="A342">
        <v>55.3</v>
      </c>
      <c r="B342">
        <v>73.900000000000006</v>
      </c>
    </row>
    <row r="343" spans="1:2">
      <c r="A343">
        <v>37.5</v>
      </c>
      <c r="B343">
        <v>41.5</v>
      </c>
    </row>
    <row r="344" spans="1:2">
      <c r="A344">
        <v>66.400000000000006</v>
      </c>
      <c r="B344">
        <v>82.8</v>
      </c>
    </row>
    <row r="345" spans="1:2">
      <c r="A345">
        <v>61.9</v>
      </c>
      <c r="B345">
        <v>70.2</v>
      </c>
    </row>
    <row r="346" spans="1:2">
      <c r="A346">
        <v>56</v>
      </c>
      <c r="B346">
        <v>69.400000000000006</v>
      </c>
    </row>
    <row r="347" spans="1:2">
      <c r="A347">
        <v>55.5</v>
      </c>
      <c r="B347">
        <v>60.4</v>
      </c>
    </row>
    <row r="348" spans="1:2">
      <c r="A348">
        <v>37.200000000000003</v>
      </c>
      <c r="B348">
        <v>45.7</v>
      </c>
    </row>
    <row r="349" spans="1:2">
      <c r="A349">
        <v>70.5</v>
      </c>
      <c r="B349">
        <v>42.2</v>
      </c>
    </row>
    <row r="350" spans="1:2">
      <c r="A350">
        <v>61.2</v>
      </c>
      <c r="B350">
        <v>61.9</v>
      </c>
    </row>
    <row r="351" spans="1:2">
      <c r="A351">
        <v>64.599999999999994</v>
      </c>
      <c r="B351">
        <v>44.9</v>
      </c>
    </row>
    <row r="352" spans="1:2">
      <c r="A352">
        <v>91.7</v>
      </c>
      <c r="B352">
        <v>68</v>
      </c>
    </row>
    <row r="353" spans="1:2">
      <c r="A353">
        <v>46</v>
      </c>
      <c r="B353">
        <v>61</v>
      </c>
    </row>
    <row r="354" spans="1:2">
      <c r="A354">
        <v>50.8</v>
      </c>
      <c r="B354">
        <v>55</v>
      </c>
    </row>
    <row r="355" spans="1:2">
      <c r="A355">
        <v>52.8</v>
      </c>
      <c r="B355">
        <v>63.1</v>
      </c>
    </row>
    <row r="356" spans="1:2">
      <c r="A356">
        <v>63</v>
      </c>
      <c r="B356">
        <v>75.8</v>
      </c>
    </row>
    <row r="357" spans="1:2">
      <c r="A357">
        <v>28.4</v>
      </c>
      <c r="B357">
        <v>43.8</v>
      </c>
    </row>
    <row r="358" spans="1:2">
      <c r="A358">
        <v>65.599999999999994</v>
      </c>
      <c r="B358">
        <v>46.8</v>
      </c>
    </row>
    <row r="359" spans="1:2">
      <c r="A359">
        <v>54.7</v>
      </c>
      <c r="B359">
        <v>97.4</v>
      </c>
    </row>
    <row r="360" spans="1:2">
      <c r="A360">
        <v>36.1</v>
      </c>
      <c r="B360">
        <v>81</v>
      </c>
    </row>
    <row r="361" spans="1:2">
      <c r="A361">
        <v>70.400000000000006</v>
      </c>
      <c r="B361">
        <v>58.9</v>
      </c>
    </row>
    <row r="362" spans="1:2">
      <c r="A362">
        <v>56.4</v>
      </c>
      <c r="B362">
        <v>51.9</v>
      </c>
    </row>
    <row r="363" spans="1:2">
      <c r="A363">
        <v>79.2</v>
      </c>
      <c r="B363">
        <v>61.7</v>
      </c>
    </row>
    <row r="364" spans="1:2">
      <c r="A364">
        <v>60.1</v>
      </c>
      <c r="B364">
        <v>44.7</v>
      </c>
    </row>
    <row r="365" spans="1:2">
      <c r="A365">
        <v>58</v>
      </c>
      <c r="B365">
        <v>63.2</v>
      </c>
    </row>
    <row r="366" spans="1:2">
      <c r="A366">
        <v>69</v>
      </c>
      <c r="B366">
        <v>83.1</v>
      </c>
    </row>
    <row r="367" spans="1:2">
      <c r="A367">
        <v>80.8</v>
      </c>
      <c r="B367">
        <v>50.3</v>
      </c>
    </row>
    <row r="368" spans="1:2">
      <c r="A368">
        <v>32.799999999999997</v>
      </c>
      <c r="B368">
        <v>58.2</v>
      </c>
    </row>
    <row r="369" spans="1:2">
      <c r="A369">
        <v>56</v>
      </c>
      <c r="B369">
        <v>53.2</v>
      </c>
    </row>
    <row r="370" spans="1:2">
      <c r="A370">
        <v>76.400000000000006</v>
      </c>
      <c r="B370">
        <v>36.4</v>
      </c>
    </row>
    <row r="371" spans="1:2">
      <c r="A371">
        <v>28.5</v>
      </c>
      <c r="B371">
        <v>72.7</v>
      </c>
    </row>
    <row r="372" spans="1:2">
      <c r="A372">
        <v>48.3</v>
      </c>
      <c r="B372">
        <v>86.7</v>
      </c>
    </row>
    <row r="373" spans="1:2">
      <c r="A373">
        <v>43.4</v>
      </c>
      <c r="B373">
        <v>48.2</v>
      </c>
    </row>
    <row r="374" spans="1:2">
      <c r="A374">
        <v>43</v>
      </c>
      <c r="B374">
        <v>57.6</v>
      </c>
    </row>
    <row r="375" spans="1:2">
      <c r="A375">
        <v>91.8</v>
      </c>
      <c r="B375">
        <v>75.7</v>
      </c>
    </row>
    <row r="376" spans="1:2">
      <c r="A376">
        <v>69.3</v>
      </c>
      <c r="B376">
        <v>48.6</v>
      </c>
    </row>
    <row r="377" spans="1:2">
      <c r="A377">
        <v>58.9</v>
      </c>
      <c r="B377">
        <v>72</v>
      </c>
    </row>
    <row r="378" spans="1:2">
      <c r="A378">
        <v>76</v>
      </c>
      <c r="B378">
        <v>72.2</v>
      </c>
    </row>
    <row r="379" spans="1:2">
      <c r="A379">
        <v>46</v>
      </c>
      <c r="B379">
        <v>56.8</v>
      </c>
    </row>
    <row r="380" spans="1:2">
      <c r="A380">
        <v>54.1</v>
      </c>
      <c r="B380">
        <v>62.5</v>
      </c>
    </row>
    <row r="381" spans="1:2">
      <c r="A381">
        <v>82.4</v>
      </c>
      <c r="B381">
        <v>63.4</v>
      </c>
    </row>
    <row r="382" spans="1:2">
      <c r="A382">
        <v>71.900000000000006</v>
      </c>
      <c r="B382">
        <v>46.8</v>
      </c>
    </row>
    <row r="383" spans="1:2">
      <c r="A383">
        <v>38</v>
      </c>
      <c r="B383">
        <v>86.5</v>
      </c>
    </row>
    <row r="384" spans="1:2">
      <c r="A384">
        <v>43.7</v>
      </c>
      <c r="B384">
        <v>75.099999999999994</v>
      </c>
    </row>
    <row r="385" spans="1:2">
      <c r="A385">
        <v>32.200000000000003</v>
      </c>
      <c r="B385">
        <v>64.5</v>
      </c>
    </row>
    <row r="386" spans="1:2">
      <c r="A386">
        <v>61</v>
      </c>
      <c r="B386">
        <v>54.2</v>
      </c>
    </row>
    <row r="387" spans="1:2">
      <c r="A387">
        <v>49</v>
      </c>
      <c r="B387">
        <v>84.1</v>
      </c>
    </row>
    <row r="388" spans="1:2">
      <c r="A388">
        <v>48.1</v>
      </c>
      <c r="B388">
        <v>49.1</v>
      </c>
    </row>
    <row r="389" spans="1:2">
      <c r="A389">
        <v>46.3</v>
      </c>
      <c r="B389">
        <v>92.7</v>
      </c>
    </row>
    <row r="390" spans="1:2">
      <c r="A390">
        <v>64</v>
      </c>
      <c r="B390">
        <v>58.7</v>
      </c>
    </row>
    <row r="391" spans="1:2">
      <c r="A391">
        <v>56.2</v>
      </c>
      <c r="B391">
        <v>59.3</v>
      </c>
    </row>
    <row r="392" spans="1:2">
      <c r="A392">
        <v>77.5</v>
      </c>
      <c r="B392">
        <v>62</v>
      </c>
    </row>
    <row r="393" spans="1:2">
      <c r="A393">
        <v>59.9</v>
      </c>
      <c r="B393">
        <v>60.3</v>
      </c>
    </row>
    <row r="394" spans="1:2">
      <c r="A394">
        <v>63</v>
      </c>
      <c r="B394">
        <v>70.5</v>
      </c>
    </row>
    <row r="395" spans="1:2">
      <c r="A395">
        <v>76.5</v>
      </c>
      <c r="B395">
        <v>36.799999999999997</v>
      </c>
    </row>
    <row r="396" spans="1:2">
      <c r="A396">
        <v>39.700000000000003</v>
      </c>
      <c r="B396">
        <v>73.2</v>
      </c>
    </row>
    <row r="397" spans="1:2">
      <c r="A397">
        <v>80.2</v>
      </c>
      <c r="B397">
        <v>70.099999999999994</v>
      </c>
    </row>
    <row r="398" spans="1:2">
      <c r="A398">
        <v>72.2</v>
      </c>
      <c r="B398">
        <v>76.400000000000006</v>
      </c>
    </row>
    <row r="399" spans="1:2">
      <c r="A399">
        <v>56</v>
      </c>
      <c r="B399">
        <v>46.4</v>
      </c>
    </row>
    <row r="400" spans="1:2">
      <c r="A400">
        <v>69.099999999999994</v>
      </c>
      <c r="B400">
        <v>81.3</v>
      </c>
    </row>
    <row r="401" spans="1:2">
      <c r="A401">
        <v>70.599999999999994</v>
      </c>
      <c r="B401">
        <v>55.3</v>
      </c>
    </row>
    <row r="402" spans="1:2">
      <c r="A402">
        <v>57.9</v>
      </c>
      <c r="B402">
        <v>44.7</v>
      </c>
    </row>
    <row r="403" spans="1:2">
      <c r="A403">
        <v>41.4</v>
      </c>
      <c r="B403">
        <v>67.2</v>
      </c>
    </row>
    <row r="404" spans="1:2">
      <c r="A404">
        <v>60.9</v>
      </c>
      <c r="B404">
        <v>70.8</v>
      </c>
    </row>
    <row r="405" spans="1:2">
      <c r="A405">
        <v>63.8</v>
      </c>
      <c r="B405">
        <v>71.3</v>
      </c>
    </row>
    <row r="406" spans="1:2">
      <c r="A406">
        <v>79.2</v>
      </c>
      <c r="B406">
        <v>69.400000000000006</v>
      </c>
    </row>
    <row r="407" spans="1:2">
      <c r="A407">
        <v>53.3</v>
      </c>
      <c r="B407">
        <v>58.9</v>
      </c>
    </row>
    <row r="408" spans="1:2">
      <c r="A408">
        <v>52.3</v>
      </c>
      <c r="B408">
        <v>70.7</v>
      </c>
    </row>
    <row r="409" spans="1:2">
      <c r="A409">
        <v>62.4</v>
      </c>
      <c r="B409">
        <v>60.5</v>
      </c>
    </row>
    <row r="410" spans="1:2">
      <c r="A410">
        <v>45.5</v>
      </c>
      <c r="B410">
        <v>77.3</v>
      </c>
    </row>
    <row r="411" spans="1:2">
      <c r="A411">
        <v>72.599999999999994</v>
      </c>
      <c r="B411">
        <v>39.5</v>
      </c>
    </row>
    <row r="412" spans="1:2">
      <c r="A412">
        <v>50.1</v>
      </c>
      <c r="B412">
        <v>68.099999999999994</v>
      </c>
    </row>
    <row r="413" spans="1:2">
      <c r="A413">
        <v>58.1</v>
      </c>
      <c r="B413">
        <v>80.3</v>
      </c>
    </row>
    <row r="414" spans="1:2">
      <c r="A414">
        <v>42.9</v>
      </c>
      <c r="B414">
        <v>77.7</v>
      </c>
    </row>
    <row r="415" spans="1:2">
      <c r="A415">
        <v>69.7</v>
      </c>
      <c r="B415">
        <v>66.2</v>
      </c>
    </row>
    <row r="416" spans="1:2">
      <c r="A416">
        <v>63.3</v>
      </c>
      <c r="B416">
        <v>43.9</v>
      </c>
    </row>
    <row r="417" spans="1:2">
      <c r="A417">
        <v>71.2</v>
      </c>
      <c r="B417">
        <v>59.1</v>
      </c>
    </row>
    <row r="418" spans="1:2">
      <c r="A418">
        <v>39.1</v>
      </c>
      <c r="B418">
        <v>67</v>
      </c>
    </row>
    <row r="419" spans="1:2">
      <c r="A419">
        <v>42.6</v>
      </c>
      <c r="B419">
        <v>47.9</v>
      </c>
    </row>
    <row r="420" spans="1:2">
      <c r="A420">
        <v>74.400000000000006</v>
      </c>
      <c r="B420">
        <v>41.5</v>
      </c>
    </row>
    <row r="421" spans="1:2">
      <c r="A421">
        <v>55.6</v>
      </c>
      <c r="B421">
        <v>30.6</v>
      </c>
    </row>
    <row r="422" spans="1:2">
      <c r="A422">
        <v>35.799999999999997</v>
      </c>
      <c r="B422">
        <v>91.5</v>
      </c>
    </row>
    <row r="423" spans="1:2">
      <c r="A423">
        <v>28.2</v>
      </c>
      <c r="B423">
        <v>80.8</v>
      </c>
    </row>
    <row r="424" spans="1:2">
      <c r="A424">
        <v>44.4</v>
      </c>
      <c r="B424">
        <v>68.099999999999994</v>
      </c>
    </row>
    <row r="425" spans="1:2">
      <c r="A425">
        <v>49.9</v>
      </c>
      <c r="B425">
        <v>80.3</v>
      </c>
    </row>
    <row r="426" spans="1:2">
      <c r="A426">
        <v>40.4</v>
      </c>
      <c r="B426">
        <v>44.4</v>
      </c>
    </row>
    <row r="427" spans="1:2">
      <c r="A427">
        <v>60.4</v>
      </c>
      <c r="B427">
        <v>51.9</v>
      </c>
    </row>
    <row r="428" spans="1:2">
      <c r="A428">
        <v>52.4</v>
      </c>
      <c r="B428">
        <v>49.8</v>
      </c>
    </row>
    <row r="429" spans="1:2">
      <c r="A429">
        <v>48.8</v>
      </c>
      <c r="B429">
        <v>62.1</v>
      </c>
    </row>
    <row r="430" spans="1:2">
      <c r="A430">
        <v>68.2</v>
      </c>
      <c r="B430">
        <v>91.3</v>
      </c>
    </row>
    <row r="431" spans="1:2">
      <c r="A431">
        <v>65.599999999999994</v>
      </c>
      <c r="B431">
        <v>66.400000000000006</v>
      </c>
    </row>
    <row r="432" spans="1:2">
      <c r="A432">
        <v>65.400000000000006</v>
      </c>
      <c r="B432">
        <v>41.5</v>
      </c>
    </row>
    <row r="433" spans="1:2">
      <c r="A433">
        <v>78.900000000000006</v>
      </c>
      <c r="B433">
        <v>77.099999999999994</v>
      </c>
    </row>
    <row r="434" spans="1:2">
      <c r="A434">
        <v>78.3</v>
      </c>
      <c r="B434">
        <v>63.2</v>
      </c>
    </row>
    <row r="435" spans="1:2">
      <c r="A435">
        <v>49.2</v>
      </c>
      <c r="B435">
        <v>75.7</v>
      </c>
    </row>
    <row r="436" spans="1:2">
      <c r="A436">
        <v>32.200000000000003</v>
      </c>
      <c r="B436">
        <v>62.9</v>
      </c>
    </row>
    <row r="437" spans="1:2">
      <c r="A437">
        <v>46.3</v>
      </c>
      <c r="B437">
        <v>64.599999999999994</v>
      </c>
    </row>
    <row r="438" spans="1:2">
      <c r="A438">
        <v>55.7</v>
      </c>
      <c r="B438">
        <v>76.599999999999994</v>
      </c>
    </row>
    <row r="439" spans="1:2">
      <c r="A439">
        <v>44.5</v>
      </c>
      <c r="B439">
        <v>74.8</v>
      </c>
    </row>
    <row r="440" spans="1:2">
      <c r="A440">
        <v>47.9</v>
      </c>
      <c r="B440">
        <v>38.1</v>
      </c>
    </row>
    <row r="441" spans="1:2">
      <c r="A441">
        <v>43.9</v>
      </c>
      <c r="B441">
        <v>60.2</v>
      </c>
    </row>
    <row r="442" spans="1:2">
      <c r="A442">
        <v>67.7</v>
      </c>
      <c r="B442">
        <v>73.5</v>
      </c>
    </row>
    <row r="443" spans="1:2">
      <c r="A443">
        <v>43.7</v>
      </c>
      <c r="B443">
        <v>70.900000000000006</v>
      </c>
    </row>
    <row r="444" spans="1:2">
      <c r="A444">
        <v>68.8</v>
      </c>
      <c r="B444">
        <v>63.7</v>
      </c>
    </row>
    <row r="445" spans="1:2">
      <c r="A445">
        <v>59.2</v>
      </c>
      <c r="B445">
        <v>86.5</v>
      </c>
    </row>
    <row r="446" spans="1:2">
      <c r="A446">
        <v>48.6</v>
      </c>
      <c r="B446">
        <v>74.599999999999994</v>
      </c>
    </row>
    <row r="447" spans="1:2">
      <c r="A447">
        <v>56.9</v>
      </c>
      <c r="B447">
        <v>46.6</v>
      </c>
    </row>
    <row r="448" spans="1:2">
      <c r="A448">
        <v>55.8</v>
      </c>
      <c r="B448">
        <v>61.2</v>
      </c>
    </row>
    <row r="449" spans="1:2">
      <c r="A449">
        <v>63.3</v>
      </c>
      <c r="B449">
        <v>54.4</v>
      </c>
    </row>
    <row r="450" spans="1:2">
      <c r="A450">
        <v>52.2</v>
      </c>
      <c r="B450">
        <v>72</v>
      </c>
    </row>
    <row r="451" spans="1:2">
      <c r="A451">
        <v>51.5</v>
      </c>
      <c r="B451">
        <v>88.6</v>
      </c>
    </row>
    <row r="452" spans="1:2">
      <c r="A452">
        <v>50.3</v>
      </c>
      <c r="B452">
        <v>77.599999999999994</v>
      </c>
    </row>
    <row r="453" spans="1:2">
      <c r="A453">
        <v>35.4</v>
      </c>
      <c r="B453">
        <v>44.3</v>
      </c>
    </row>
    <row r="454" spans="1:2">
      <c r="A454">
        <v>54.1</v>
      </c>
      <c r="B454">
        <v>49</v>
      </c>
    </row>
    <row r="455" spans="1:2">
      <c r="A455">
        <v>56.2</v>
      </c>
      <c r="B455">
        <v>53.9</v>
      </c>
    </row>
    <row r="456" spans="1:2">
      <c r="A456">
        <v>43.7</v>
      </c>
      <c r="B456">
        <v>69</v>
      </c>
    </row>
    <row r="457" spans="1:2">
      <c r="A457">
        <v>51.3</v>
      </c>
      <c r="B457">
        <v>37.4</v>
      </c>
    </row>
    <row r="458" spans="1:2">
      <c r="A458">
        <v>50.5</v>
      </c>
      <c r="B458">
        <v>59</v>
      </c>
    </row>
    <row r="459" spans="1:2">
      <c r="A459">
        <v>57.3</v>
      </c>
      <c r="B459">
        <v>60.8</v>
      </c>
    </row>
    <row r="460" spans="1:2">
      <c r="A460">
        <v>58.4</v>
      </c>
      <c r="B460">
        <v>57.5</v>
      </c>
    </row>
    <row r="461" spans="1:2">
      <c r="A461">
        <v>56.5</v>
      </c>
      <c r="B461">
        <v>84.2</v>
      </c>
    </row>
    <row r="462" spans="1:2">
      <c r="A462">
        <v>69.599999999999994</v>
      </c>
      <c r="B462">
        <v>27.4</v>
      </c>
    </row>
    <row r="463" spans="1:2">
      <c r="A463">
        <v>6.2</v>
      </c>
      <c r="B463">
        <v>67.599999999999994</v>
      </c>
    </row>
    <row r="464" spans="1:2">
      <c r="A464">
        <v>54.3</v>
      </c>
      <c r="B464">
        <v>68.400000000000006</v>
      </c>
    </row>
    <row r="465" spans="1:2">
      <c r="A465">
        <v>59.8</v>
      </c>
      <c r="B465">
        <v>66.5</v>
      </c>
    </row>
    <row r="466" spans="1:2">
      <c r="A466">
        <v>58.9</v>
      </c>
      <c r="B466">
        <v>38.200000000000003</v>
      </c>
    </row>
    <row r="467" spans="1:2">
      <c r="A467">
        <v>52.9</v>
      </c>
      <c r="B467">
        <v>66.7</v>
      </c>
    </row>
    <row r="468" spans="1:2">
      <c r="A468">
        <v>67.8</v>
      </c>
      <c r="B468">
        <v>73.7</v>
      </c>
    </row>
    <row r="469" spans="1:2">
      <c r="A469">
        <v>48.7</v>
      </c>
      <c r="B469">
        <v>63.9</v>
      </c>
    </row>
    <row r="470" spans="1:2">
      <c r="A470">
        <v>59</v>
      </c>
      <c r="B470">
        <v>82.6</v>
      </c>
    </row>
    <row r="471" spans="1:2">
      <c r="A471">
        <v>63.2</v>
      </c>
      <c r="B471">
        <v>58.3</v>
      </c>
    </row>
    <row r="472" spans="1:2">
      <c r="A472">
        <v>68.7</v>
      </c>
      <c r="B472">
        <v>72.900000000000006</v>
      </c>
    </row>
    <row r="473" spans="1:2">
      <c r="A473">
        <v>52.1</v>
      </c>
      <c r="B473">
        <v>53.5</v>
      </c>
    </row>
    <row r="474" spans="1:2">
      <c r="A474">
        <v>56.5</v>
      </c>
      <c r="B474">
        <v>54.8</v>
      </c>
    </row>
    <row r="475" spans="1:2">
      <c r="A475">
        <v>64.400000000000006</v>
      </c>
      <c r="B475">
        <v>69.5</v>
      </c>
    </row>
    <row r="476" spans="1:2">
      <c r="A476">
        <v>65.900000000000006</v>
      </c>
      <c r="B476">
        <v>71.3</v>
      </c>
    </row>
    <row r="477" spans="1:2">
      <c r="A477">
        <v>100</v>
      </c>
      <c r="B477">
        <v>57.5</v>
      </c>
    </row>
    <row r="478" spans="1:2">
      <c r="A478">
        <v>50.4</v>
      </c>
      <c r="B478">
        <v>50.9</v>
      </c>
    </row>
    <row r="479" spans="1:2">
      <c r="A479">
        <v>41.5</v>
      </c>
      <c r="B479">
        <v>69.3</v>
      </c>
    </row>
    <row r="480" spans="1:2">
      <c r="A480">
        <v>86.2</v>
      </c>
      <c r="B480">
        <v>50.1</v>
      </c>
    </row>
    <row r="481" spans="1:2">
      <c r="A481">
        <v>50.8</v>
      </c>
      <c r="B481">
        <v>69.7</v>
      </c>
    </row>
    <row r="482" spans="1:2">
      <c r="A482">
        <v>50.9</v>
      </c>
      <c r="B482">
        <v>63.5</v>
      </c>
    </row>
    <row r="483" spans="1:2">
      <c r="A483">
        <v>87.5</v>
      </c>
      <c r="B483">
        <v>80.400000000000006</v>
      </c>
    </row>
    <row r="484" spans="1:2">
      <c r="A484">
        <v>43.6</v>
      </c>
      <c r="B484">
        <v>58.9</v>
      </c>
    </row>
    <row r="485" spans="1:2">
      <c r="A485">
        <v>55.5</v>
      </c>
      <c r="B485">
        <v>56.8</v>
      </c>
    </row>
    <row r="486" spans="1:2">
      <c r="A486">
        <v>78.599999999999994</v>
      </c>
      <c r="B486">
        <v>73.900000000000006</v>
      </c>
    </row>
    <row r="487" spans="1:2">
      <c r="A487">
        <v>44.3</v>
      </c>
      <c r="B487">
        <v>76.3</v>
      </c>
    </row>
    <row r="488" spans="1:2">
      <c r="A488">
        <v>45.2</v>
      </c>
      <c r="B488">
        <v>56.9</v>
      </c>
    </row>
    <row r="489" spans="1:2">
      <c r="A489">
        <v>46.1</v>
      </c>
      <c r="B489">
        <v>49.4</v>
      </c>
    </row>
    <row r="490" spans="1:2">
      <c r="A490">
        <v>49.6</v>
      </c>
      <c r="B490">
        <v>86.7</v>
      </c>
    </row>
    <row r="491" spans="1:2">
      <c r="A491">
        <v>70.5</v>
      </c>
      <c r="B491">
        <v>69</v>
      </c>
    </row>
    <row r="492" spans="1:2">
      <c r="A492">
        <v>60.8</v>
      </c>
      <c r="B492">
        <v>84.5</v>
      </c>
    </row>
    <row r="493" spans="1:2">
      <c r="A493">
        <v>50.5</v>
      </c>
      <c r="B493">
        <v>66.3</v>
      </c>
    </row>
    <row r="494" spans="1:2">
      <c r="A494">
        <v>54.9</v>
      </c>
      <c r="B494">
        <v>52.2</v>
      </c>
    </row>
    <row r="495" spans="1:2">
      <c r="A495">
        <v>29.9</v>
      </c>
      <c r="B495">
        <v>81.2</v>
      </c>
    </row>
    <row r="496" spans="1:2">
      <c r="A496">
        <v>48.3</v>
      </c>
      <c r="B496">
        <v>53.9</v>
      </c>
    </row>
    <row r="497" spans="1:2">
      <c r="A497">
        <v>41.3</v>
      </c>
      <c r="B497">
        <v>39.1</v>
      </c>
    </row>
    <row r="498" spans="1:2">
      <c r="A498">
        <v>61.4</v>
      </c>
      <c r="B498">
        <v>57.3</v>
      </c>
    </row>
    <row r="499" spans="1:2">
      <c r="A499">
        <v>57.8</v>
      </c>
      <c r="B499">
        <v>65.900000000000006</v>
      </c>
    </row>
    <row r="500" spans="1:2">
      <c r="A500">
        <v>78.2</v>
      </c>
      <c r="B500">
        <v>34.200000000000003</v>
      </c>
    </row>
    <row r="501" spans="1:2">
      <c r="A501">
        <v>63.8</v>
      </c>
      <c r="B501">
        <v>47.2</v>
      </c>
    </row>
    <row r="502" spans="1:2">
      <c r="A502">
        <v>56.8</v>
      </c>
      <c r="B502">
        <v>55</v>
      </c>
    </row>
    <row r="503" spans="1:2">
      <c r="A503">
        <v>59.6</v>
      </c>
      <c r="B503">
        <v>76.400000000000006</v>
      </c>
    </row>
    <row r="504" spans="1:2">
      <c r="A504">
        <v>50</v>
      </c>
      <c r="B504">
        <v>70.8</v>
      </c>
    </row>
    <row r="505" spans="1:2">
      <c r="A505">
        <v>35.700000000000003</v>
      </c>
      <c r="B505">
        <v>58</v>
      </c>
    </row>
    <row r="506" spans="1:2">
      <c r="A506">
        <v>47.2</v>
      </c>
      <c r="B506">
        <v>70.8</v>
      </c>
    </row>
    <row r="507" spans="1:2">
      <c r="A507">
        <v>56.9</v>
      </c>
      <c r="B507">
        <v>60</v>
      </c>
    </row>
    <row r="508" spans="1:2">
      <c r="A508">
        <v>57.2</v>
      </c>
      <c r="B508">
        <v>58.1</v>
      </c>
    </row>
    <row r="509" spans="1:2">
      <c r="A509">
        <v>31.4</v>
      </c>
      <c r="B509">
        <v>59.7</v>
      </c>
    </row>
    <row r="510" spans="1:2">
      <c r="A510">
        <v>71.2</v>
      </c>
      <c r="B510">
        <v>47.7</v>
      </c>
    </row>
    <row r="511" spans="1:2">
      <c r="A511">
        <v>38.299999999999997</v>
      </c>
      <c r="B511">
        <v>59.1</v>
      </c>
    </row>
    <row r="512" spans="1:2">
      <c r="A512">
        <v>63.1</v>
      </c>
      <c r="B512">
        <v>68.7</v>
      </c>
    </row>
    <row r="513" spans="1:2">
      <c r="A513">
        <v>59.7</v>
      </c>
      <c r="B513">
        <v>34.700000000000003</v>
      </c>
    </row>
    <row r="514" spans="1:2">
      <c r="A514">
        <v>59.5</v>
      </c>
      <c r="B514">
        <v>70.3</v>
      </c>
    </row>
    <row r="515" spans="1:2">
      <c r="A515">
        <v>78.8</v>
      </c>
      <c r="B515">
        <v>56</v>
      </c>
    </row>
    <row r="516" spans="1:2">
      <c r="A516">
        <v>54</v>
      </c>
      <c r="B516">
        <v>65.8</v>
      </c>
    </row>
    <row r="517" spans="1:2">
      <c r="A517">
        <v>66.3</v>
      </c>
      <c r="B517">
        <v>54.7</v>
      </c>
    </row>
    <row r="518" spans="1:2">
      <c r="A518">
        <v>54.7</v>
      </c>
      <c r="B518">
        <v>64.099999999999994</v>
      </c>
    </row>
    <row r="519" spans="1:2">
      <c r="A519">
        <v>76.7</v>
      </c>
      <c r="B519">
        <v>71.599999999999994</v>
      </c>
    </row>
    <row r="520" spans="1:2">
      <c r="A520">
        <v>47.4</v>
      </c>
      <c r="B520">
        <v>78.400000000000006</v>
      </c>
    </row>
    <row r="521" spans="1:2">
      <c r="A521">
        <v>81.7</v>
      </c>
      <c r="B521">
        <v>49.3</v>
      </c>
    </row>
    <row r="522" spans="1:2">
      <c r="A522">
        <v>67.5</v>
      </c>
      <c r="B522">
        <v>52.8</v>
      </c>
    </row>
    <row r="523" spans="1:2">
      <c r="A523">
        <v>36.799999999999997</v>
      </c>
      <c r="B523">
        <v>58.5</v>
      </c>
    </row>
    <row r="524" spans="1:2">
      <c r="A524">
        <v>66.5</v>
      </c>
      <c r="B524">
        <v>55.9</v>
      </c>
    </row>
    <row r="525" spans="1:2">
      <c r="A525">
        <v>35.4</v>
      </c>
      <c r="B525">
        <v>74.900000000000006</v>
      </c>
    </row>
    <row r="526" spans="1:2">
      <c r="A526">
        <v>64.3</v>
      </c>
      <c r="B526">
        <v>58.5</v>
      </c>
    </row>
    <row r="527" spans="1:2">
      <c r="A527">
        <v>49.1</v>
      </c>
      <c r="B527">
        <v>63.5</v>
      </c>
    </row>
    <row r="528" spans="1:2">
      <c r="A528">
        <v>84.3</v>
      </c>
      <c r="B528">
        <v>64.8</v>
      </c>
    </row>
    <row r="529" spans="1:2">
      <c r="A529">
        <v>65.599999999999994</v>
      </c>
      <c r="B529">
        <v>63.3</v>
      </c>
    </row>
    <row r="530" spans="1:2">
      <c r="A530">
        <v>47.1</v>
      </c>
      <c r="B530">
        <v>83.7</v>
      </c>
    </row>
    <row r="531" spans="1:2">
      <c r="A531">
        <v>70</v>
      </c>
      <c r="B531">
        <v>88.7</v>
      </c>
    </row>
    <row r="532" spans="1:2">
      <c r="A532">
        <v>54.6</v>
      </c>
      <c r="B532">
        <v>61.5</v>
      </c>
    </row>
    <row r="533" spans="1:2">
      <c r="A533">
        <v>65.2</v>
      </c>
      <c r="B533">
        <v>45.3</v>
      </c>
    </row>
    <row r="534" spans="1:2">
      <c r="A534">
        <v>65</v>
      </c>
      <c r="B534">
        <v>37.299999999999997</v>
      </c>
    </row>
    <row r="535" spans="1:2">
      <c r="A535">
        <v>42.1</v>
      </c>
      <c r="B535">
        <v>76.099999999999994</v>
      </c>
    </row>
    <row r="536" spans="1:2">
      <c r="A536">
        <v>43.4</v>
      </c>
      <c r="B536">
        <v>62.3</v>
      </c>
    </row>
    <row r="537" spans="1:2">
      <c r="A537">
        <v>60.9</v>
      </c>
      <c r="B537">
        <v>62.7</v>
      </c>
    </row>
    <row r="538" spans="1:2">
      <c r="A538">
        <v>74.099999999999994</v>
      </c>
      <c r="B538">
        <v>82.4</v>
      </c>
    </row>
    <row r="539" spans="1:2">
      <c r="A539">
        <v>61.4</v>
      </c>
      <c r="B539">
        <v>78.900000000000006</v>
      </c>
    </row>
    <row r="540" spans="1:2">
      <c r="A540">
        <v>76.8</v>
      </c>
      <c r="B540">
        <v>67.8</v>
      </c>
    </row>
    <row r="541" spans="1:2">
      <c r="A541">
        <v>45.3</v>
      </c>
      <c r="B541">
        <v>68.8</v>
      </c>
    </row>
    <row r="542" spans="1:2">
      <c r="A542">
        <v>41.4</v>
      </c>
      <c r="B542">
        <v>67.7</v>
      </c>
    </row>
    <row r="543" spans="1:2">
      <c r="A543">
        <v>37.1</v>
      </c>
      <c r="B543">
        <v>88</v>
      </c>
    </row>
    <row r="544" spans="1:2">
      <c r="A544">
        <v>40.700000000000003</v>
      </c>
      <c r="B544">
        <v>80.099999999999994</v>
      </c>
    </row>
    <row r="545" spans="1:2">
      <c r="A545">
        <v>55.9</v>
      </c>
      <c r="B545">
        <v>48.2</v>
      </c>
    </row>
    <row r="546" spans="1:2">
      <c r="A546">
        <v>55.8</v>
      </c>
      <c r="B546">
        <v>52.7</v>
      </c>
    </row>
    <row r="547" spans="1:2">
      <c r="A547">
        <v>64.3</v>
      </c>
      <c r="B547">
        <v>59.9</v>
      </c>
    </row>
    <row r="548" spans="1:2">
      <c r="A548">
        <v>65.400000000000006</v>
      </c>
      <c r="B548">
        <v>49.5</v>
      </c>
    </row>
    <row r="549" spans="1:2">
      <c r="A549">
        <v>89.8</v>
      </c>
      <c r="B549">
        <v>41.5</v>
      </c>
    </row>
    <row r="550" spans="1:2">
      <c r="A550">
        <v>58.3</v>
      </c>
      <c r="B550">
        <v>71.2</v>
      </c>
    </row>
    <row r="551" spans="1:2">
      <c r="A551">
        <v>64.400000000000006</v>
      </c>
      <c r="B551">
        <v>65.8</v>
      </c>
    </row>
    <row r="552" spans="1:2">
      <c r="A552">
        <v>46.2</v>
      </c>
      <c r="B552">
        <v>55.1</v>
      </c>
    </row>
    <row r="553" spans="1:2">
      <c r="A553">
        <v>78</v>
      </c>
      <c r="B553">
        <v>54.6</v>
      </c>
    </row>
    <row r="554" spans="1:2">
      <c r="A554">
        <v>62.3</v>
      </c>
      <c r="B554">
        <v>81.900000000000006</v>
      </c>
    </row>
    <row r="555" spans="1:2">
      <c r="A555">
        <v>78.8</v>
      </c>
      <c r="B555">
        <v>63.2</v>
      </c>
    </row>
    <row r="556" spans="1:2">
      <c r="A556">
        <v>25</v>
      </c>
      <c r="B556">
        <v>55.4</v>
      </c>
    </row>
    <row r="557" spans="1:2">
      <c r="A557">
        <v>53.4</v>
      </c>
      <c r="B557">
        <v>87.5</v>
      </c>
    </row>
    <row r="558" spans="1:2">
      <c r="A558">
        <v>40.700000000000003</v>
      </c>
      <c r="B558">
        <v>48.5</v>
      </c>
    </row>
    <row r="559" spans="1:2">
      <c r="A559">
        <v>36.700000000000003</v>
      </c>
      <c r="B559">
        <v>58.4</v>
      </c>
    </row>
    <row r="560" spans="1:2">
      <c r="A560">
        <v>67.5</v>
      </c>
      <c r="B560">
        <v>59.5</v>
      </c>
    </row>
    <row r="561" spans="1:2">
      <c r="A561">
        <v>69.900000000000006</v>
      </c>
      <c r="B561">
        <v>93.2</v>
      </c>
    </row>
    <row r="562" spans="1:2">
      <c r="A562">
        <v>65.099999999999994</v>
      </c>
      <c r="B562">
        <v>59</v>
      </c>
    </row>
    <row r="563" spans="1:2">
      <c r="A563">
        <v>48.7</v>
      </c>
      <c r="B563">
        <v>37</v>
      </c>
    </row>
    <row r="564" spans="1:2">
      <c r="A564">
        <v>47.2</v>
      </c>
      <c r="B564">
        <v>47.5</v>
      </c>
    </row>
    <row r="565" spans="1:2">
      <c r="A565">
        <v>20.3</v>
      </c>
      <c r="B565">
        <v>78.7</v>
      </c>
    </row>
    <row r="566" spans="1:2">
      <c r="A566">
        <v>57.8</v>
      </c>
      <c r="B566">
        <v>49.6</v>
      </c>
    </row>
    <row r="567" spans="1:2">
      <c r="A567">
        <v>78.7</v>
      </c>
      <c r="B567">
        <v>58</v>
      </c>
    </row>
    <row r="568" spans="1:2">
      <c r="A568">
        <v>63.6</v>
      </c>
      <c r="B568">
        <v>54.4</v>
      </c>
    </row>
    <row r="569" spans="1:2">
      <c r="A569">
        <v>45.1</v>
      </c>
      <c r="B569">
        <v>33.700000000000003</v>
      </c>
    </row>
    <row r="570" spans="1:2">
      <c r="A570">
        <v>77.5</v>
      </c>
      <c r="B570">
        <v>72.7</v>
      </c>
    </row>
    <row r="571" spans="1:2">
      <c r="A571">
        <v>58</v>
      </c>
      <c r="B571">
        <v>64.7</v>
      </c>
    </row>
    <row r="572" spans="1:2">
      <c r="A572">
        <v>68.099999999999994</v>
      </c>
      <c r="B572">
        <v>48.6</v>
      </c>
    </row>
    <row r="573" spans="1:2">
      <c r="A573">
        <v>35.4</v>
      </c>
      <c r="B573">
        <v>66.2</v>
      </c>
    </row>
    <row r="574" spans="1:2">
      <c r="A574">
        <v>47</v>
      </c>
      <c r="B574">
        <v>60.7</v>
      </c>
    </row>
    <row r="575" spans="1:2">
      <c r="A575">
        <v>75</v>
      </c>
      <c r="B575">
        <v>36.5</v>
      </c>
    </row>
    <row r="576" spans="1:2">
      <c r="A576">
        <v>50.2</v>
      </c>
      <c r="B576">
        <v>69.7</v>
      </c>
    </row>
    <row r="577" spans="1:2">
      <c r="A577">
        <v>40.1</v>
      </c>
      <c r="B577">
        <v>81.8</v>
      </c>
    </row>
    <row r="578" spans="1:2">
      <c r="A578">
        <v>61.1</v>
      </c>
      <c r="B578">
        <v>78.3</v>
      </c>
    </row>
    <row r="579" spans="1:2">
      <c r="A579">
        <v>42.4</v>
      </c>
      <c r="B579">
        <v>79.400000000000006</v>
      </c>
    </row>
    <row r="580" spans="1:2">
      <c r="A580">
        <v>46.6</v>
      </c>
      <c r="B580">
        <v>54.9</v>
      </c>
    </row>
    <row r="581" spans="1:2">
      <c r="A581">
        <v>72.099999999999994</v>
      </c>
      <c r="B581">
        <v>54.9</v>
      </c>
    </row>
    <row r="582" spans="1:2">
      <c r="A582">
        <v>21.5</v>
      </c>
      <c r="B582">
        <v>28.7</v>
      </c>
    </row>
    <row r="583" spans="1:2">
      <c r="A583">
        <v>65.400000000000006</v>
      </c>
      <c r="B583">
        <v>68.8</v>
      </c>
    </row>
    <row r="584" spans="1:2">
      <c r="A584">
        <v>53.3</v>
      </c>
      <c r="B584">
        <v>43.5</v>
      </c>
    </row>
    <row r="585" spans="1:2">
      <c r="A585">
        <v>52.3</v>
      </c>
      <c r="B585">
        <v>62.6</v>
      </c>
    </row>
    <row r="586" spans="1:2">
      <c r="A586">
        <v>62.5</v>
      </c>
      <c r="B586">
        <v>54.1</v>
      </c>
    </row>
    <row r="587" spans="1:2">
      <c r="A587">
        <v>69.8</v>
      </c>
      <c r="B587">
        <v>80.099999999999994</v>
      </c>
    </row>
    <row r="588" spans="1:2">
      <c r="A588">
        <v>68.2</v>
      </c>
      <c r="B588">
        <v>69.5</v>
      </c>
    </row>
    <row r="589" spans="1:2">
      <c r="A589">
        <v>35.200000000000003</v>
      </c>
      <c r="B589">
        <v>46.6</v>
      </c>
    </row>
    <row r="590" spans="1:2">
      <c r="A590">
        <v>59.3</v>
      </c>
      <c r="B590">
        <v>54.9</v>
      </c>
    </row>
    <row r="591" spans="1:2">
      <c r="A591">
        <v>68.099999999999994</v>
      </c>
      <c r="B591">
        <v>100</v>
      </c>
    </row>
    <row r="592" spans="1:2">
      <c r="A592">
        <v>74.8</v>
      </c>
      <c r="B592">
        <v>80.5</v>
      </c>
    </row>
    <row r="593" spans="1:2">
      <c r="A593">
        <v>61.7</v>
      </c>
      <c r="B593">
        <v>51.2</v>
      </c>
    </row>
    <row r="594" spans="1:2">
      <c r="A594">
        <v>24.3</v>
      </c>
      <c r="B594">
        <v>42.5</v>
      </c>
    </row>
    <row r="595" spans="1:2">
      <c r="A595">
        <v>61.9</v>
      </c>
      <c r="B595">
        <v>72.5</v>
      </c>
    </row>
    <row r="596" spans="1:2">
      <c r="A596">
        <v>41.7</v>
      </c>
      <c r="B596">
        <v>74.400000000000006</v>
      </c>
    </row>
    <row r="597" spans="1:2">
      <c r="A597">
        <v>87.6</v>
      </c>
      <c r="B597">
        <v>78.400000000000006</v>
      </c>
    </row>
    <row r="598" spans="1:2">
      <c r="A598">
        <v>30.8</v>
      </c>
      <c r="B598">
        <v>71.5</v>
      </c>
    </row>
    <row r="599" spans="1:2">
      <c r="A599">
        <v>54</v>
      </c>
      <c r="B599">
        <v>66.7</v>
      </c>
    </row>
    <row r="600" spans="1:2">
      <c r="A600">
        <v>54.5</v>
      </c>
      <c r="B600">
        <v>60.4</v>
      </c>
    </row>
    <row r="601" spans="1:2">
      <c r="A601">
        <v>61.3</v>
      </c>
      <c r="B601">
        <v>72.900000000000006</v>
      </c>
    </row>
    <row r="602" spans="1:2">
      <c r="A602">
        <v>62.7</v>
      </c>
      <c r="B602">
        <v>55.2</v>
      </c>
    </row>
    <row r="603" spans="1:2">
      <c r="A603">
        <v>43.1</v>
      </c>
      <c r="B603">
        <v>67.8</v>
      </c>
    </row>
    <row r="604" spans="1:2">
      <c r="A604">
        <v>59.9</v>
      </c>
      <c r="B604">
        <v>70</v>
      </c>
    </row>
    <row r="605" spans="1:2">
      <c r="A605">
        <v>55.7</v>
      </c>
      <c r="B605">
        <v>51.1</v>
      </c>
    </row>
    <row r="606" spans="1:2">
      <c r="A606">
        <v>37.1</v>
      </c>
      <c r="B606">
        <v>57</v>
      </c>
    </row>
    <row r="607" spans="1:2">
      <c r="A607">
        <v>46.7</v>
      </c>
      <c r="B607">
        <v>47.1</v>
      </c>
    </row>
    <row r="608" spans="1:2">
      <c r="A608">
        <v>54.1</v>
      </c>
      <c r="B608">
        <v>30.7</v>
      </c>
    </row>
    <row r="609" spans="1:2">
      <c r="A609">
        <v>56.1</v>
      </c>
      <c r="B609">
        <v>57.3</v>
      </c>
    </row>
    <row r="610" spans="1:2">
      <c r="A610">
        <v>23.6</v>
      </c>
      <c r="B610">
        <v>70</v>
      </c>
    </row>
    <row r="611" spans="1:2">
      <c r="A611">
        <v>54.7</v>
      </c>
      <c r="B611">
        <v>59.7</v>
      </c>
    </row>
    <row r="612" spans="1:2">
      <c r="A612">
        <v>50.4</v>
      </c>
      <c r="B612">
        <v>68.8</v>
      </c>
    </row>
    <row r="613" spans="1:2">
      <c r="A613">
        <v>54.5</v>
      </c>
      <c r="B613">
        <v>88.3</v>
      </c>
    </row>
    <row r="614" spans="1:2">
      <c r="A614">
        <v>58</v>
      </c>
      <c r="B614">
        <v>83.4</v>
      </c>
    </row>
    <row r="615" spans="1:2">
      <c r="A615">
        <v>42.9</v>
      </c>
      <c r="B615">
        <v>81.599999999999994</v>
      </c>
    </row>
    <row r="616" spans="1:2">
      <c r="A616">
        <v>51.1</v>
      </c>
      <c r="B616">
        <v>91.6</v>
      </c>
    </row>
    <row r="617" spans="1:2">
      <c r="A617">
        <v>51.8</v>
      </c>
      <c r="B617">
        <v>61.5</v>
      </c>
    </row>
    <row r="618" spans="1:2">
      <c r="A618">
        <v>67.7</v>
      </c>
      <c r="B618">
        <v>32.6</v>
      </c>
    </row>
    <row r="619" spans="1:2">
      <c r="A619">
        <v>75.8</v>
      </c>
      <c r="B619">
        <v>73.900000000000006</v>
      </c>
    </row>
    <row r="620" spans="1:2">
      <c r="A620">
        <v>72.8</v>
      </c>
      <c r="B620">
        <v>99.9</v>
      </c>
    </row>
    <row r="621" spans="1:2">
      <c r="A621">
        <v>54.4</v>
      </c>
      <c r="B621">
        <v>62.4</v>
      </c>
    </row>
    <row r="622" spans="1:2">
      <c r="A622">
        <v>51.8</v>
      </c>
      <c r="B622">
        <v>46.1</v>
      </c>
    </row>
    <row r="623" spans="1:2">
      <c r="A623">
        <v>40.299999999999997</v>
      </c>
      <c r="B623">
        <v>73.900000000000006</v>
      </c>
    </row>
    <row r="624" spans="1:2">
      <c r="A624">
        <v>61.7</v>
      </c>
      <c r="B624">
        <v>90</v>
      </c>
    </row>
    <row r="625" spans="1:2">
      <c r="A625">
        <v>45</v>
      </c>
      <c r="B625">
        <v>68.8</v>
      </c>
    </row>
    <row r="626" spans="1:2">
      <c r="A626">
        <v>60</v>
      </c>
      <c r="B626">
        <v>66.599999999999994</v>
      </c>
    </row>
    <row r="627" spans="1:2">
      <c r="A627">
        <v>55.5</v>
      </c>
      <c r="B627">
        <v>49.7</v>
      </c>
    </row>
    <row r="628" spans="1:2">
      <c r="A628">
        <v>51.8</v>
      </c>
      <c r="B628">
        <v>67.900000000000006</v>
      </c>
    </row>
    <row r="629" spans="1:2">
      <c r="A629">
        <v>56</v>
      </c>
      <c r="B629">
        <v>66.900000000000006</v>
      </c>
    </row>
    <row r="630" spans="1:2">
      <c r="A630">
        <v>52.5</v>
      </c>
      <c r="B630">
        <v>46.1</v>
      </c>
    </row>
    <row r="631" spans="1:2">
      <c r="A631">
        <v>42.5</v>
      </c>
      <c r="B631">
        <v>85.6</v>
      </c>
    </row>
    <row r="632" spans="1:2">
      <c r="A632">
        <v>65.3</v>
      </c>
      <c r="B632">
        <v>39.6</v>
      </c>
    </row>
    <row r="633" spans="1:2">
      <c r="A633">
        <v>37.6</v>
      </c>
      <c r="B633">
        <v>52.5</v>
      </c>
    </row>
    <row r="634" spans="1:2">
      <c r="A634">
        <v>57.8</v>
      </c>
      <c r="B634">
        <v>73.5</v>
      </c>
    </row>
    <row r="635" spans="1:2">
      <c r="A635">
        <v>52.7</v>
      </c>
      <c r="B635">
        <v>62.5</v>
      </c>
    </row>
    <row r="636" spans="1:2">
      <c r="A636">
        <v>51.7</v>
      </c>
      <c r="B636">
        <v>76.900000000000006</v>
      </c>
    </row>
    <row r="637" spans="1:2">
      <c r="A637">
        <v>57</v>
      </c>
      <c r="B637">
        <v>51.4</v>
      </c>
    </row>
    <row r="638" spans="1:2">
      <c r="A638">
        <v>39.5</v>
      </c>
      <c r="B638">
        <v>59.3</v>
      </c>
    </row>
    <row r="639" spans="1:2">
      <c r="A639">
        <v>76.5</v>
      </c>
      <c r="B639">
        <v>74.900000000000006</v>
      </c>
    </row>
    <row r="640" spans="1:2">
      <c r="A640">
        <v>32.4</v>
      </c>
      <c r="B640">
        <v>67</v>
      </c>
    </row>
    <row r="641" spans="1:2">
      <c r="A641">
        <v>58.6</v>
      </c>
      <c r="B641">
        <v>63.6</v>
      </c>
    </row>
    <row r="642" spans="1:2">
      <c r="A642">
        <v>78.599999999999994</v>
      </c>
      <c r="B642">
        <v>58.4</v>
      </c>
    </row>
    <row r="643" spans="1:2">
      <c r="A643">
        <v>54.5</v>
      </c>
      <c r="B643">
        <v>36.799999999999997</v>
      </c>
    </row>
    <row r="644" spans="1:2">
      <c r="A644">
        <v>57.6</v>
      </c>
      <c r="B644">
        <v>71.599999999999994</v>
      </c>
    </row>
    <row r="645" spans="1:2">
      <c r="A645">
        <v>52.8</v>
      </c>
      <c r="B645">
        <v>79.7</v>
      </c>
    </row>
    <row r="646" spans="1:2">
      <c r="A646">
        <v>52.9</v>
      </c>
      <c r="B646">
        <v>56.5</v>
      </c>
    </row>
    <row r="647" spans="1:2">
      <c r="A647">
        <v>55.9</v>
      </c>
      <c r="B647">
        <v>44.7</v>
      </c>
    </row>
    <row r="648" spans="1:2">
      <c r="A648">
        <v>74.2</v>
      </c>
      <c r="B648">
        <v>66</v>
      </c>
    </row>
    <row r="649" spans="1:2">
      <c r="A649">
        <v>46.3</v>
      </c>
      <c r="B649">
        <v>73</v>
      </c>
    </row>
    <row r="650" spans="1:2">
      <c r="A650">
        <v>62</v>
      </c>
      <c r="B650">
        <v>72.5</v>
      </c>
    </row>
    <row r="651" spans="1:2">
      <c r="A651">
        <v>55.6</v>
      </c>
      <c r="B651">
        <v>100</v>
      </c>
    </row>
    <row r="652" spans="1:2">
      <c r="A652">
        <v>62.8</v>
      </c>
      <c r="B652">
        <v>90.5</v>
      </c>
    </row>
    <row r="653" spans="1:2">
      <c r="A653">
        <v>73.099999999999994</v>
      </c>
      <c r="B653">
        <v>70.2</v>
      </c>
    </row>
    <row r="654" spans="1:2">
      <c r="A654">
        <v>57.2</v>
      </c>
      <c r="B654">
        <v>67.099999999999994</v>
      </c>
    </row>
    <row r="655" spans="1:2">
      <c r="A655">
        <v>67.900000000000006</v>
      </c>
      <c r="B655">
        <v>54.5</v>
      </c>
    </row>
    <row r="656" spans="1:2">
      <c r="A656">
        <v>50.1</v>
      </c>
      <c r="B656">
        <v>63.4</v>
      </c>
    </row>
    <row r="657" spans="1:2">
      <c r="A657">
        <v>67.8</v>
      </c>
      <c r="B657">
        <v>84.3</v>
      </c>
    </row>
    <row r="658" spans="1:2">
      <c r="A658">
        <v>60.8</v>
      </c>
      <c r="B658">
        <v>55</v>
      </c>
    </row>
    <row r="659" spans="1:2">
      <c r="A659">
        <v>33.700000000000003</v>
      </c>
      <c r="B659">
        <v>63.6</v>
      </c>
    </row>
    <row r="660" spans="1:2">
      <c r="A660">
        <v>45.2</v>
      </c>
      <c r="B660">
        <v>55.5</v>
      </c>
    </row>
    <row r="661" spans="1:2">
      <c r="A661">
        <v>48.2</v>
      </c>
      <c r="B661">
        <v>50.5</v>
      </c>
    </row>
    <row r="662" spans="1:2">
      <c r="A662">
        <v>44.8</v>
      </c>
      <c r="B662">
        <v>45.3</v>
      </c>
    </row>
    <row r="663" spans="1:2">
      <c r="A663">
        <v>52.1</v>
      </c>
      <c r="B663">
        <v>62</v>
      </c>
    </row>
    <row r="664" spans="1:2">
      <c r="A664">
        <v>30.7</v>
      </c>
      <c r="B664">
        <v>88.2</v>
      </c>
    </row>
    <row r="665" spans="1:2">
      <c r="A665">
        <v>58.4</v>
      </c>
      <c r="B665">
        <v>51.8</v>
      </c>
    </row>
    <row r="666" spans="1:2">
      <c r="A666">
        <v>52.6</v>
      </c>
      <c r="B666">
        <v>87.9</v>
      </c>
    </row>
    <row r="667" spans="1:2">
      <c r="A667">
        <v>19.100000000000001</v>
      </c>
      <c r="B667">
        <v>70.5</v>
      </c>
    </row>
    <row r="668" spans="1:2">
      <c r="A668">
        <v>36.799999999999997</v>
      </c>
      <c r="B668">
        <v>58.5</v>
      </c>
    </row>
    <row r="669" spans="1:2">
      <c r="A669">
        <v>68.5</v>
      </c>
      <c r="B669">
        <v>65.599999999999994</v>
      </c>
    </row>
    <row r="670" spans="1:2">
      <c r="A670">
        <v>40.1</v>
      </c>
      <c r="B670">
        <v>62.7</v>
      </c>
    </row>
    <row r="671" spans="1:2">
      <c r="A671">
        <v>47.5</v>
      </c>
      <c r="B671">
        <v>50.9</v>
      </c>
    </row>
    <row r="672" spans="1:2">
      <c r="A672">
        <v>77.099999999999994</v>
      </c>
      <c r="B672">
        <v>60.6</v>
      </c>
    </row>
    <row r="673" spans="1:2">
      <c r="A673">
        <v>75.900000000000006</v>
      </c>
      <c r="B673">
        <v>76.599999999999994</v>
      </c>
    </row>
    <row r="674" spans="1:2">
      <c r="A674">
        <v>52</v>
      </c>
      <c r="B674">
        <v>54.4</v>
      </c>
    </row>
    <row r="675" spans="1:2">
      <c r="A675">
        <v>64.900000000000006</v>
      </c>
      <c r="B675">
        <v>31.2</v>
      </c>
    </row>
    <row r="676" spans="1:2">
      <c r="A676">
        <v>48.2</v>
      </c>
      <c r="B676">
        <v>72.400000000000006</v>
      </c>
    </row>
    <row r="677" spans="1:2">
      <c r="A677">
        <v>42.1</v>
      </c>
      <c r="B677">
        <v>74.5</v>
      </c>
    </row>
    <row r="678" spans="1:2">
      <c r="A678">
        <v>27.6</v>
      </c>
      <c r="B678">
        <v>52.6</v>
      </c>
    </row>
    <row r="679" spans="1:2">
      <c r="A679">
        <v>68.5</v>
      </c>
      <c r="B679">
        <v>75.400000000000006</v>
      </c>
    </row>
    <row r="680" spans="1:2">
      <c r="A680">
        <v>59.2</v>
      </c>
      <c r="B680">
        <v>34</v>
      </c>
    </row>
    <row r="681" spans="1:2">
      <c r="A681">
        <v>63.3</v>
      </c>
      <c r="B681">
        <v>67.099999999999994</v>
      </c>
    </row>
    <row r="682" spans="1:2">
      <c r="A682">
        <v>55</v>
      </c>
      <c r="B682">
        <v>37.299999999999997</v>
      </c>
    </row>
    <row r="683" spans="1:2">
      <c r="A683">
        <v>64.8</v>
      </c>
      <c r="B683">
        <v>54.7</v>
      </c>
    </row>
    <row r="684" spans="1:2">
      <c r="A684">
        <v>41.8</v>
      </c>
      <c r="B684">
        <v>51.8</v>
      </c>
    </row>
    <row r="685" spans="1:2">
      <c r="A685">
        <v>39.9</v>
      </c>
      <c r="B685">
        <v>49.2</v>
      </c>
    </row>
    <row r="686" spans="1:2">
      <c r="B686">
        <v>58.8</v>
      </c>
    </row>
    <row r="687" spans="1:2">
      <c r="B687">
        <v>59.1</v>
      </c>
    </row>
    <row r="688" spans="1:2">
      <c r="B688">
        <v>49.6</v>
      </c>
    </row>
    <row r="689" spans="2:2">
      <c r="B689">
        <v>58.2</v>
      </c>
    </row>
    <row r="690" spans="2:2">
      <c r="B690">
        <v>66.8</v>
      </c>
    </row>
    <row r="691" spans="2:2">
      <c r="B691">
        <v>58.3</v>
      </c>
    </row>
    <row r="692" spans="2:2">
      <c r="B692">
        <v>38.5</v>
      </c>
    </row>
    <row r="693" spans="2:2">
      <c r="B693">
        <v>76.900000000000006</v>
      </c>
    </row>
    <row r="694" spans="2:2">
      <c r="B694">
        <v>54</v>
      </c>
    </row>
    <row r="695" spans="2:2">
      <c r="B695">
        <v>70.599999999999994</v>
      </c>
    </row>
    <row r="696" spans="2:2">
      <c r="B696">
        <v>69.400000000000006</v>
      </c>
    </row>
    <row r="697" spans="2:2">
      <c r="B697">
        <v>89.7</v>
      </c>
    </row>
    <row r="698" spans="2:2">
      <c r="B698">
        <v>62.4</v>
      </c>
    </row>
    <row r="699" spans="2:2">
      <c r="B699">
        <v>67.3</v>
      </c>
    </row>
    <row r="700" spans="2:2">
      <c r="B700">
        <v>54.9</v>
      </c>
    </row>
    <row r="701" spans="2:2">
      <c r="B701">
        <v>55.7</v>
      </c>
    </row>
    <row r="702" spans="2:2">
      <c r="B702">
        <v>72.5</v>
      </c>
    </row>
    <row r="703" spans="2:2">
      <c r="B703">
        <v>33.6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"/>
  <sheetViews>
    <sheetView topLeftCell="G1316" workbookViewId="0">
      <selection activeCell="L17" sqref="L17"/>
    </sheetView>
  </sheetViews>
  <sheetFormatPr defaultRowHeight="13.8"/>
  <cols>
    <col min="1" max="16" width="16" customWidth="1"/>
    <col min="17" max="17" width="17.69921875" customWidth="1"/>
  </cols>
  <sheetData>
    <row r="1" spans="1:17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1" t="s">
        <v>1471</v>
      </c>
    </row>
    <row r="2" spans="1:17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7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7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7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7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7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7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7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7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7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7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7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7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7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7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7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7" s="23" customFormat="1">
      <c r="A434" s="23" t="s">
        <v>127</v>
      </c>
      <c r="B434" s="24">
        <v>45693</v>
      </c>
      <c r="C434" s="23" t="s">
        <v>17</v>
      </c>
      <c r="D434" s="23" t="s">
        <v>28</v>
      </c>
      <c r="E434" s="23" t="s">
        <v>24</v>
      </c>
      <c r="F434" s="23" t="s">
        <v>41</v>
      </c>
      <c r="G434" s="23" t="s">
        <v>26</v>
      </c>
      <c r="H434" s="23">
        <v>0</v>
      </c>
      <c r="I434" s="23">
        <v>0</v>
      </c>
      <c r="J434" s="23">
        <v>0</v>
      </c>
      <c r="K434" s="23">
        <v>0</v>
      </c>
      <c r="L434" s="23">
        <v>0</v>
      </c>
      <c r="M434" s="23">
        <v>0</v>
      </c>
      <c r="N434" s="23">
        <v>0</v>
      </c>
      <c r="P434" s="23">
        <v>68</v>
      </c>
      <c r="Q434" s="23" t="s">
        <v>1470</v>
      </c>
    </row>
    <row r="435" spans="1:17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7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7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7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7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7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7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7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7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7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7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7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7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7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464</v>
      </c>
      <c r="B542" s="2">
        <v>45691</v>
      </c>
      <c r="C542" t="s">
        <v>17</v>
      </c>
      <c r="D542" t="s">
        <v>18</v>
      </c>
      <c r="E542" t="s">
        <v>34</v>
      </c>
      <c r="F542" t="s">
        <v>20</v>
      </c>
      <c r="G542" t="s">
        <v>21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60.9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7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7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7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7" s="23" customFormat="1">
      <c r="A692" s="23" t="s">
        <v>464</v>
      </c>
      <c r="B692" s="24">
        <v>45691</v>
      </c>
      <c r="C692" s="23" t="s">
        <v>17</v>
      </c>
      <c r="D692" s="23" t="s">
        <v>18</v>
      </c>
      <c r="E692" s="23" t="s">
        <v>34</v>
      </c>
      <c r="F692" s="23" t="s">
        <v>20</v>
      </c>
      <c r="G692" s="23" t="s">
        <v>21</v>
      </c>
      <c r="H692" s="23">
        <v>1</v>
      </c>
      <c r="I692" s="23">
        <v>0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P692" s="23">
        <v>60.9</v>
      </c>
      <c r="Q692" s="23" t="s">
        <v>1470</v>
      </c>
    </row>
    <row r="693" spans="1:17">
      <c r="A693" t="s">
        <v>572</v>
      </c>
      <c r="B693" s="2">
        <v>45799</v>
      </c>
      <c r="C693" t="s">
        <v>17</v>
      </c>
      <c r="D693" t="s">
        <v>18</v>
      </c>
      <c r="E693" t="s">
        <v>24</v>
      </c>
      <c r="F693" t="s">
        <v>29</v>
      </c>
      <c r="G693" t="s">
        <v>21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P693">
        <v>39.9</v>
      </c>
    </row>
    <row r="694" spans="1:17" s="23" customFormat="1">
      <c r="A694" s="23" t="s">
        <v>572</v>
      </c>
      <c r="B694" s="24">
        <v>45799</v>
      </c>
      <c r="C694" s="23" t="s">
        <v>17</v>
      </c>
      <c r="D694" s="23" t="s">
        <v>18</v>
      </c>
      <c r="E694" s="23" t="s">
        <v>24</v>
      </c>
      <c r="F694" s="23" t="s">
        <v>29</v>
      </c>
      <c r="G694" s="23" t="s">
        <v>21</v>
      </c>
      <c r="H694" s="23">
        <v>1</v>
      </c>
      <c r="I694" s="23">
        <v>1</v>
      </c>
      <c r="J694" s="23">
        <v>0</v>
      </c>
      <c r="K694" s="23">
        <v>0</v>
      </c>
      <c r="L694" s="23">
        <v>0</v>
      </c>
      <c r="M694" s="23">
        <v>0</v>
      </c>
      <c r="N694" s="23">
        <v>0</v>
      </c>
      <c r="P694" s="23">
        <v>39.9</v>
      </c>
      <c r="Q694" s="23" t="s">
        <v>1470</v>
      </c>
    </row>
    <row r="695" spans="1:17">
      <c r="A695" t="s">
        <v>722</v>
      </c>
      <c r="B695" s="2">
        <v>45761</v>
      </c>
      <c r="C695" t="s">
        <v>723</v>
      </c>
      <c r="D695" t="s">
        <v>28</v>
      </c>
      <c r="E695" t="s">
        <v>19</v>
      </c>
      <c r="F695" t="s">
        <v>41</v>
      </c>
      <c r="G695" t="s">
        <v>21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73.2</v>
      </c>
    </row>
    <row r="696" spans="1:17">
      <c r="A696" t="s">
        <v>724</v>
      </c>
      <c r="B696" s="2">
        <v>45786</v>
      </c>
      <c r="C696" t="s">
        <v>723</v>
      </c>
      <c r="D696" t="s">
        <v>28</v>
      </c>
      <c r="E696" t="s">
        <v>19</v>
      </c>
      <c r="F696" t="s">
        <v>25</v>
      </c>
      <c r="G696" t="s">
        <v>21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3</v>
      </c>
      <c r="N696">
        <v>0</v>
      </c>
      <c r="P696">
        <v>55.7</v>
      </c>
    </row>
    <row r="697" spans="1:17">
      <c r="A697" t="s">
        <v>725</v>
      </c>
      <c r="B697" s="2">
        <v>45737</v>
      </c>
      <c r="C697" t="s">
        <v>723</v>
      </c>
      <c r="D697" t="s">
        <v>18</v>
      </c>
      <c r="E697" t="s">
        <v>24</v>
      </c>
      <c r="F697" t="s">
        <v>25</v>
      </c>
      <c r="G697" t="s">
        <v>26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P697">
        <v>82.8</v>
      </c>
    </row>
    <row r="698" spans="1:17">
      <c r="A698" t="s">
        <v>726</v>
      </c>
      <c r="B698" s="2">
        <v>45743</v>
      </c>
      <c r="C698" t="s">
        <v>723</v>
      </c>
      <c r="D698" t="s">
        <v>18</v>
      </c>
      <c r="E698" t="s">
        <v>19</v>
      </c>
      <c r="F698" t="s">
        <v>41</v>
      </c>
      <c r="G698" t="s">
        <v>26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7">
      <c r="A699" t="s">
        <v>727</v>
      </c>
      <c r="B699" s="2">
        <v>45678</v>
      </c>
      <c r="C699" t="s">
        <v>723</v>
      </c>
      <c r="D699" t="s">
        <v>32</v>
      </c>
      <c r="E699" t="s">
        <v>24</v>
      </c>
      <c r="F699" t="s">
        <v>29</v>
      </c>
      <c r="G699" t="s">
        <v>26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P699">
        <v>34.4</v>
      </c>
    </row>
    <row r="700" spans="1:17">
      <c r="A700" t="s">
        <v>728</v>
      </c>
      <c r="B700" s="2">
        <v>45735</v>
      </c>
      <c r="C700" t="s">
        <v>723</v>
      </c>
      <c r="D700" t="s">
        <v>28</v>
      </c>
      <c r="E700" t="s">
        <v>19</v>
      </c>
      <c r="F700" t="s">
        <v>20</v>
      </c>
      <c r="G700" t="s">
        <v>26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45.2</v>
      </c>
    </row>
    <row r="701" spans="1:17">
      <c r="A701" t="s">
        <v>729</v>
      </c>
      <c r="B701" s="2">
        <v>45804</v>
      </c>
      <c r="C701" t="s">
        <v>723</v>
      </c>
      <c r="D701" t="s">
        <v>18</v>
      </c>
      <c r="E701" t="s">
        <v>24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P701">
        <v>71.599999999999994</v>
      </c>
    </row>
    <row r="702" spans="1:17">
      <c r="A702" t="s">
        <v>730</v>
      </c>
      <c r="B702" s="2">
        <v>45658</v>
      </c>
      <c r="C702" t="s">
        <v>723</v>
      </c>
      <c r="D702" t="s">
        <v>18</v>
      </c>
      <c r="E702" t="s">
        <v>24</v>
      </c>
      <c r="F702" t="s">
        <v>41</v>
      </c>
      <c r="G702" t="s">
        <v>26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P702">
        <v>69.099999999999994</v>
      </c>
    </row>
    <row r="703" spans="1:17">
      <c r="A703" t="s">
        <v>731</v>
      </c>
      <c r="B703" s="2">
        <v>45745</v>
      </c>
      <c r="C703" t="s">
        <v>723</v>
      </c>
      <c r="D703" t="s">
        <v>23</v>
      </c>
      <c r="E703" t="s">
        <v>19</v>
      </c>
      <c r="F703" t="s">
        <v>29</v>
      </c>
      <c r="G703" t="s">
        <v>30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P703">
        <v>37.700000000000003</v>
      </c>
    </row>
    <row r="704" spans="1:17">
      <c r="A704" t="s">
        <v>732</v>
      </c>
      <c r="B704" s="2">
        <v>45733</v>
      </c>
      <c r="C704" t="s">
        <v>723</v>
      </c>
      <c r="D704" t="s">
        <v>23</v>
      </c>
      <c r="E704" t="s">
        <v>19</v>
      </c>
      <c r="F704" t="s">
        <v>25</v>
      </c>
      <c r="G704" t="s">
        <v>21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P704">
        <v>60.8</v>
      </c>
    </row>
    <row r="705" spans="1:16">
      <c r="A705" t="s">
        <v>733</v>
      </c>
      <c r="B705" s="2">
        <v>45782</v>
      </c>
      <c r="C705" t="s">
        <v>723</v>
      </c>
      <c r="D705" t="s">
        <v>18</v>
      </c>
      <c r="E705" t="s">
        <v>24</v>
      </c>
      <c r="F705" t="s">
        <v>25</v>
      </c>
      <c r="G705" t="s">
        <v>26</v>
      </c>
      <c r="H705">
        <v>1</v>
      </c>
      <c r="I705">
        <v>1</v>
      </c>
      <c r="J705">
        <v>1</v>
      </c>
      <c r="K705">
        <v>1</v>
      </c>
      <c r="L705">
        <v>444.13</v>
      </c>
      <c r="M705">
        <v>0</v>
      </c>
      <c r="N705">
        <v>0</v>
      </c>
      <c r="O705">
        <v>10</v>
      </c>
      <c r="P705">
        <v>80.7</v>
      </c>
    </row>
    <row r="706" spans="1:16">
      <c r="A706" t="s">
        <v>734</v>
      </c>
      <c r="B706" s="2">
        <v>45781</v>
      </c>
      <c r="C706" t="s">
        <v>723</v>
      </c>
      <c r="D706" t="s">
        <v>32</v>
      </c>
      <c r="E706" t="s">
        <v>24</v>
      </c>
      <c r="F706" t="s">
        <v>41</v>
      </c>
      <c r="G706" t="s">
        <v>26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P706">
        <v>69.2</v>
      </c>
    </row>
    <row r="707" spans="1:16">
      <c r="A707" t="s">
        <v>735</v>
      </c>
      <c r="B707" s="2">
        <v>45741</v>
      </c>
      <c r="C707" t="s">
        <v>723</v>
      </c>
      <c r="D707" t="s">
        <v>18</v>
      </c>
      <c r="E707" t="s">
        <v>24</v>
      </c>
      <c r="F707" t="s">
        <v>41</v>
      </c>
      <c r="G707" t="s">
        <v>30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</v>
      </c>
      <c r="N707">
        <v>0</v>
      </c>
      <c r="P707">
        <v>55</v>
      </c>
    </row>
    <row r="708" spans="1:16">
      <c r="A708" t="s">
        <v>736</v>
      </c>
      <c r="B708" s="2">
        <v>45764</v>
      </c>
      <c r="C708" t="s">
        <v>723</v>
      </c>
      <c r="D708" t="s">
        <v>23</v>
      </c>
      <c r="E708" t="s">
        <v>24</v>
      </c>
      <c r="F708" t="s">
        <v>20</v>
      </c>
      <c r="G708" t="s">
        <v>26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P708">
        <v>73.599999999999994</v>
      </c>
    </row>
    <row r="709" spans="1:16">
      <c r="A709" t="s">
        <v>737</v>
      </c>
      <c r="B709" s="2">
        <v>45800</v>
      </c>
      <c r="C709" t="s">
        <v>723</v>
      </c>
      <c r="D709" t="s">
        <v>32</v>
      </c>
      <c r="E709" t="s">
        <v>24</v>
      </c>
      <c r="F709" t="s">
        <v>39</v>
      </c>
      <c r="G709" t="s">
        <v>21</v>
      </c>
      <c r="H709">
        <v>1</v>
      </c>
      <c r="I709">
        <v>1</v>
      </c>
      <c r="J709">
        <v>1</v>
      </c>
      <c r="K709">
        <v>0</v>
      </c>
      <c r="L709">
        <v>0</v>
      </c>
      <c r="M709">
        <v>1</v>
      </c>
      <c r="N709">
        <v>0</v>
      </c>
      <c r="P709">
        <v>47.3</v>
      </c>
    </row>
    <row r="710" spans="1:16">
      <c r="A710" t="s">
        <v>738</v>
      </c>
      <c r="B710" s="2">
        <v>45670</v>
      </c>
      <c r="C710" t="s">
        <v>723</v>
      </c>
      <c r="D710" t="s">
        <v>18</v>
      </c>
      <c r="E710" t="s">
        <v>24</v>
      </c>
      <c r="F710" t="s">
        <v>25</v>
      </c>
      <c r="G710" t="s">
        <v>21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43.6</v>
      </c>
    </row>
    <row r="711" spans="1:16">
      <c r="A711" t="s">
        <v>739</v>
      </c>
      <c r="B711" s="2">
        <v>45686</v>
      </c>
      <c r="C711" t="s">
        <v>723</v>
      </c>
      <c r="D711" t="s">
        <v>18</v>
      </c>
      <c r="E711" t="s">
        <v>19</v>
      </c>
      <c r="F711" t="s">
        <v>25</v>
      </c>
      <c r="G711" t="s">
        <v>21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6">
      <c r="A712" t="s">
        <v>740</v>
      </c>
      <c r="B712" s="2">
        <v>45788</v>
      </c>
      <c r="C712" t="s">
        <v>723</v>
      </c>
      <c r="D712" t="s">
        <v>32</v>
      </c>
      <c r="E712" t="s">
        <v>24</v>
      </c>
      <c r="F712" t="s">
        <v>20</v>
      </c>
      <c r="G712" t="s">
        <v>26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55.2</v>
      </c>
    </row>
    <row r="713" spans="1:16">
      <c r="A713" t="s">
        <v>741</v>
      </c>
      <c r="B713" s="2">
        <v>45769</v>
      </c>
      <c r="C713" t="s">
        <v>723</v>
      </c>
      <c r="D713" t="s">
        <v>32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49.4</v>
      </c>
    </row>
    <row r="714" spans="1:16">
      <c r="A714" t="s">
        <v>742</v>
      </c>
      <c r="B714" s="2">
        <v>45719</v>
      </c>
      <c r="C714" t="s">
        <v>723</v>
      </c>
      <c r="D714" t="s">
        <v>32</v>
      </c>
      <c r="E714" t="s">
        <v>24</v>
      </c>
      <c r="F714" t="s">
        <v>41</v>
      </c>
      <c r="G714" t="s">
        <v>26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  <c r="P714">
        <v>60.1</v>
      </c>
    </row>
    <row r="715" spans="1:16">
      <c r="A715" t="s">
        <v>743</v>
      </c>
      <c r="B715" s="2">
        <v>45734</v>
      </c>
      <c r="C715" t="s">
        <v>723</v>
      </c>
      <c r="D715" t="s">
        <v>18</v>
      </c>
      <c r="E715" t="s">
        <v>24</v>
      </c>
      <c r="F715" t="s">
        <v>39</v>
      </c>
      <c r="G715" t="s">
        <v>26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55.9</v>
      </c>
    </row>
    <row r="716" spans="1:16">
      <c r="A716" t="s">
        <v>744</v>
      </c>
      <c r="B716" s="2">
        <v>45752</v>
      </c>
      <c r="C716" t="s">
        <v>723</v>
      </c>
      <c r="D716" t="s">
        <v>18</v>
      </c>
      <c r="E716" t="s">
        <v>24</v>
      </c>
      <c r="F716" t="s">
        <v>25</v>
      </c>
      <c r="G716" t="s">
        <v>21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51.5</v>
      </c>
    </row>
    <row r="717" spans="1:16">
      <c r="A717" t="s">
        <v>745</v>
      </c>
      <c r="B717" s="2">
        <v>45763</v>
      </c>
      <c r="C717" t="s">
        <v>723</v>
      </c>
      <c r="D717" t="s">
        <v>28</v>
      </c>
      <c r="E717" t="s">
        <v>24</v>
      </c>
      <c r="F717" t="s">
        <v>25</v>
      </c>
      <c r="G717" t="s">
        <v>26</v>
      </c>
      <c r="H717">
        <v>1</v>
      </c>
      <c r="I717">
        <v>1</v>
      </c>
      <c r="J717">
        <v>1</v>
      </c>
      <c r="K717">
        <v>1</v>
      </c>
      <c r="L717">
        <v>516.66999999999996</v>
      </c>
      <c r="M717">
        <v>0</v>
      </c>
      <c r="N717">
        <v>0</v>
      </c>
      <c r="O717">
        <v>11</v>
      </c>
      <c r="P717">
        <v>57.9</v>
      </c>
    </row>
    <row r="718" spans="1:16">
      <c r="A718" t="s">
        <v>746</v>
      </c>
      <c r="B718" s="2">
        <v>45767</v>
      </c>
      <c r="C718" t="s">
        <v>723</v>
      </c>
      <c r="D718" t="s">
        <v>32</v>
      </c>
      <c r="E718" t="s">
        <v>24</v>
      </c>
      <c r="F718" t="s">
        <v>39</v>
      </c>
      <c r="G718" t="s">
        <v>26</v>
      </c>
      <c r="H718">
        <v>1</v>
      </c>
      <c r="I718">
        <v>1</v>
      </c>
      <c r="J718">
        <v>1</v>
      </c>
      <c r="K718">
        <v>1</v>
      </c>
      <c r="L718">
        <v>277.18</v>
      </c>
      <c r="M718">
        <v>2</v>
      </c>
      <c r="N718">
        <v>0</v>
      </c>
      <c r="O718">
        <v>8</v>
      </c>
      <c r="P718">
        <v>59.2</v>
      </c>
    </row>
    <row r="719" spans="1:16">
      <c r="A719" t="s">
        <v>747</v>
      </c>
      <c r="B719" s="2">
        <v>45703</v>
      </c>
      <c r="C719" t="s">
        <v>723</v>
      </c>
      <c r="D719" t="s">
        <v>32</v>
      </c>
      <c r="E719" t="s">
        <v>24</v>
      </c>
      <c r="F719" t="s">
        <v>25</v>
      </c>
      <c r="G719" t="s">
        <v>26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64.2</v>
      </c>
    </row>
    <row r="720" spans="1:16">
      <c r="A720" t="s">
        <v>748</v>
      </c>
      <c r="B720" s="2">
        <v>45678</v>
      </c>
      <c r="C720" t="s">
        <v>723</v>
      </c>
      <c r="D720" t="s">
        <v>32</v>
      </c>
      <c r="E720" t="s">
        <v>24</v>
      </c>
      <c r="F720" t="s">
        <v>25</v>
      </c>
      <c r="G720" t="s">
        <v>26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68.8</v>
      </c>
    </row>
    <row r="721" spans="1:16">
      <c r="A721" t="s">
        <v>749</v>
      </c>
      <c r="B721" s="2">
        <v>45800</v>
      </c>
      <c r="C721" t="s">
        <v>723</v>
      </c>
      <c r="D721" t="s">
        <v>18</v>
      </c>
      <c r="E721" t="s">
        <v>24</v>
      </c>
      <c r="F721" t="s">
        <v>29</v>
      </c>
      <c r="G721" t="s">
        <v>30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P721">
        <v>77.900000000000006</v>
      </c>
    </row>
    <row r="722" spans="1:16">
      <c r="A722" t="s">
        <v>750</v>
      </c>
      <c r="B722" s="2">
        <v>45679</v>
      </c>
      <c r="C722" t="s">
        <v>723</v>
      </c>
      <c r="D722" t="s">
        <v>23</v>
      </c>
      <c r="E722" t="s">
        <v>24</v>
      </c>
      <c r="F722" t="s">
        <v>29</v>
      </c>
      <c r="G722" t="s">
        <v>21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92.1</v>
      </c>
    </row>
    <row r="723" spans="1:16">
      <c r="A723" t="s">
        <v>751</v>
      </c>
      <c r="B723" s="2">
        <v>45771</v>
      </c>
      <c r="C723" t="s">
        <v>723</v>
      </c>
      <c r="D723" t="s">
        <v>23</v>
      </c>
      <c r="E723" t="s">
        <v>24</v>
      </c>
      <c r="F723" t="s">
        <v>29</v>
      </c>
      <c r="G723" t="s">
        <v>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63.6</v>
      </c>
    </row>
    <row r="724" spans="1:16">
      <c r="A724" t="s">
        <v>752</v>
      </c>
      <c r="B724" s="2">
        <v>45674</v>
      </c>
      <c r="C724" t="s">
        <v>723</v>
      </c>
      <c r="D724" t="s">
        <v>23</v>
      </c>
      <c r="E724" t="s">
        <v>19</v>
      </c>
      <c r="F724" t="s">
        <v>20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0</v>
      </c>
      <c r="P724">
        <v>61.6</v>
      </c>
    </row>
    <row r="725" spans="1:16">
      <c r="A725" t="s">
        <v>753</v>
      </c>
      <c r="B725" s="2">
        <v>45679</v>
      </c>
      <c r="C725" t="s">
        <v>723</v>
      </c>
      <c r="D725" t="s">
        <v>28</v>
      </c>
      <c r="E725" t="s">
        <v>24</v>
      </c>
      <c r="F725" t="s">
        <v>39</v>
      </c>
      <c r="G725" t="s">
        <v>21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82.3</v>
      </c>
    </row>
    <row r="726" spans="1:16">
      <c r="A726" t="s">
        <v>754</v>
      </c>
      <c r="B726" s="2">
        <v>45781</v>
      </c>
      <c r="C726" t="s">
        <v>723</v>
      </c>
      <c r="D726" t="s">
        <v>28</v>
      </c>
      <c r="E726" t="s">
        <v>19</v>
      </c>
      <c r="F726" t="s">
        <v>29</v>
      </c>
      <c r="G726" t="s">
        <v>26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79.3</v>
      </c>
    </row>
    <row r="727" spans="1:16">
      <c r="A727" t="s">
        <v>755</v>
      </c>
      <c r="B727" s="2">
        <v>45729</v>
      </c>
      <c r="C727" t="s">
        <v>723</v>
      </c>
      <c r="D727" t="s">
        <v>32</v>
      </c>
      <c r="E727" t="s">
        <v>24</v>
      </c>
      <c r="G727" t="s">
        <v>26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57.7</v>
      </c>
    </row>
    <row r="728" spans="1:16">
      <c r="A728" t="s">
        <v>756</v>
      </c>
      <c r="B728" s="2">
        <v>45659</v>
      </c>
      <c r="C728" t="s">
        <v>723</v>
      </c>
      <c r="D728" t="s">
        <v>18</v>
      </c>
      <c r="E728" t="s">
        <v>24</v>
      </c>
      <c r="F728" t="s">
        <v>25</v>
      </c>
      <c r="G728" t="s">
        <v>21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P728">
        <v>63.1</v>
      </c>
    </row>
    <row r="729" spans="1:16">
      <c r="A729" t="s">
        <v>757</v>
      </c>
      <c r="B729" s="2">
        <v>45670</v>
      </c>
      <c r="C729" t="s">
        <v>723</v>
      </c>
      <c r="D729" t="s">
        <v>28</v>
      </c>
      <c r="E729" t="s">
        <v>24</v>
      </c>
      <c r="F729" t="s">
        <v>29</v>
      </c>
      <c r="G729" t="s">
        <v>21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P729">
        <v>72.3</v>
      </c>
    </row>
    <row r="730" spans="1:16">
      <c r="A730" t="s">
        <v>758</v>
      </c>
      <c r="B730" s="2">
        <v>45697</v>
      </c>
      <c r="C730" t="s">
        <v>723</v>
      </c>
      <c r="D730" t="s">
        <v>28</v>
      </c>
      <c r="E730" t="s">
        <v>24</v>
      </c>
      <c r="F730" t="s">
        <v>41</v>
      </c>
      <c r="G730" t="s">
        <v>26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P730">
        <v>78</v>
      </c>
    </row>
    <row r="731" spans="1:16">
      <c r="A731" t="s">
        <v>759</v>
      </c>
      <c r="B731" s="2">
        <v>45756</v>
      </c>
      <c r="C731" t="s">
        <v>723</v>
      </c>
      <c r="D731" t="s">
        <v>28</v>
      </c>
      <c r="E731" t="s">
        <v>19</v>
      </c>
      <c r="F731" t="s">
        <v>41</v>
      </c>
      <c r="G731" t="s">
        <v>26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2</v>
      </c>
      <c r="N731">
        <v>0</v>
      </c>
      <c r="P731">
        <v>59.1</v>
      </c>
    </row>
    <row r="732" spans="1:16">
      <c r="A732" t="s">
        <v>760</v>
      </c>
      <c r="B732" s="2">
        <v>45659</v>
      </c>
      <c r="C732" t="s">
        <v>723</v>
      </c>
      <c r="D732" t="s">
        <v>32</v>
      </c>
      <c r="E732" t="s">
        <v>24</v>
      </c>
      <c r="F732" t="s">
        <v>29</v>
      </c>
      <c r="G732" t="s">
        <v>26</v>
      </c>
      <c r="H732">
        <v>1</v>
      </c>
      <c r="I732">
        <v>1</v>
      </c>
      <c r="J732">
        <v>1</v>
      </c>
      <c r="K732">
        <v>1</v>
      </c>
      <c r="L732">
        <v>604.09</v>
      </c>
      <c r="M732">
        <v>0</v>
      </c>
      <c r="N732">
        <v>0</v>
      </c>
      <c r="O732">
        <v>7</v>
      </c>
      <c r="P732">
        <v>47.1</v>
      </c>
    </row>
    <row r="733" spans="1:16">
      <c r="A733" t="s">
        <v>761</v>
      </c>
      <c r="B733" s="2">
        <v>45692</v>
      </c>
      <c r="C733" t="s">
        <v>723</v>
      </c>
      <c r="D733" t="s">
        <v>32</v>
      </c>
      <c r="E733" t="s">
        <v>24</v>
      </c>
      <c r="G733" t="s">
        <v>30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P733">
        <v>64.900000000000006</v>
      </c>
    </row>
    <row r="734" spans="1:16">
      <c r="A734" t="s">
        <v>762</v>
      </c>
      <c r="B734" s="2">
        <v>45707</v>
      </c>
      <c r="C734" t="s">
        <v>723</v>
      </c>
      <c r="D734" t="s">
        <v>32</v>
      </c>
      <c r="E734" t="s">
        <v>34</v>
      </c>
      <c r="F734" t="s">
        <v>29</v>
      </c>
      <c r="G734" t="s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P734">
        <v>67.3</v>
      </c>
    </row>
    <row r="735" spans="1:16">
      <c r="A735" t="s">
        <v>763</v>
      </c>
      <c r="B735" s="2">
        <v>45748</v>
      </c>
      <c r="C735" t="s">
        <v>723</v>
      </c>
      <c r="D735" t="s">
        <v>28</v>
      </c>
      <c r="E735" t="s">
        <v>24</v>
      </c>
      <c r="F735" t="s">
        <v>29</v>
      </c>
      <c r="G735" t="s">
        <v>21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0</v>
      </c>
      <c r="P735">
        <v>52.9</v>
      </c>
    </row>
    <row r="736" spans="1:16">
      <c r="A736" t="s">
        <v>764</v>
      </c>
      <c r="B736" s="2">
        <v>45686</v>
      </c>
      <c r="C736" t="s">
        <v>723</v>
      </c>
      <c r="D736" t="s">
        <v>18</v>
      </c>
      <c r="E736" t="s">
        <v>24</v>
      </c>
      <c r="F736" t="s">
        <v>39</v>
      </c>
      <c r="G736" t="s">
        <v>26</v>
      </c>
      <c r="H736">
        <v>1</v>
      </c>
      <c r="I736">
        <v>1</v>
      </c>
      <c r="J736">
        <v>1</v>
      </c>
      <c r="K736">
        <v>1</v>
      </c>
      <c r="L736">
        <v>442.37</v>
      </c>
      <c r="M736">
        <v>1</v>
      </c>
      <c r="N736">
        <v>0</v>
      </c>
      <c r="O736">
        <v>4</v>
      </c>
      <c r="P736">
        <v>69.900000000000006</v>
      </c>
    </row>
    <row r="737" spans="1:16">
      <c r="A737" t="s">
        <v>765</v>
      </c>
      <c r="B737" s="2">
        <v>45795</v>
      </c>
      <c r="C737" t="s">
        <v>723</v>
      </c>
      <c r="D737" t="s">
        <v>18</v>
      </c>
      <c r="E737" t="s">
        <v>24</v>
      </c>
      <c r="F737" t="s">
        <v>39</v>
      </c>
      <c r="G737" t="s">
        <v>21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P737">
        <v>78.900000000000006</v>
      </c>
    </row>
    <row r="738" spans="1:16">
      <c r="A738" t="s">
        <v>766</v>
      </c>
      <c r="B738" s="2">
        <v>45762</v>
      </c>
      <c r="C738" t="s">
        <v>723</v>
      </c>
      <c r="D738" t="s">
        <v>28</v>
      </c>
      <c r="E738" t="s">
        <v>19</v>
      </c>
      <c r="F738" t="s">
        <v>41</v>
      </c>
      <c r="G738" t="s">
        <v>30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83.3</v>
      </c>
    </row>
    <row r="739" spans="1:16">
      <c r="A739" t="s">
        <v>767</v>
      </c>
      <c r="B739" s="2">
        <v>45744</v>
      </c>
      <c r="C739" t="s">
        <v>723</v>
      </c>
      <c r="D739" t="s">
        <v>28</v>
      </c>
      <c r="E739" t="s">
        <v>19</v>
      </c>
      <c r="F739" t="s">
        <v>20</v>
      </c>
      <c r="G739" t="s">
        <v>26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P739">
        <v>24.5</v>
      </c>
    </row>
    <row r="740" spans="1:16">
      <c r="A740" t="s">
        <v>768</v>
      </c>
      <c r="B740" s="2">
        <v>45748</v>
      </c>
      <c r="C740" t="s">
        <v>723</v>
      </c>
      <c r="D740" t="s">
        <v>23</v>
      </c>
      <c r="E740" t="s">
        <v>24</v>
      </c>
      <c r="F740" t="s">
        <v>29</v>
      </c>
      <c r="G740" t="s">
        <v>21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0</v>
      </c>
      <c r="P740">
        <v>56.9</v>
      </c>
    </row>
    <row r="741" spans="1:16">
      <c r="A741" t="s">
        <v>769</v>
      </c>
      <c r="B741" s="2">
        <v>45699</v>
      </c>
      <c r="C741" t="s">
        <v>723</v>
      </c>
      <c r="D741" t="s">
        <v>23</v>
      </c>
      <c r="E741" t="s">
        <v>24</v>
      </c>
      <c r="F741" t="s">
        <v>41</v>
      </c>
      <c r="G741" t="s">
        <v>21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P741">
        <v>69.900000000000006</v>
      </c>
    </row>
    <row r="742" spans="1:16">
      <c r="A742" t="s">
        <v>770</v>
      </c>
      <c r="B742" s="2">
        <v>45720</v>
      </c>
      <c r="C742" t="s">
        <v>723</v>
      </c>
      <c r="D742" t="s">
        <v>32</v>
      </c>
      <c r="E742" t="s">
        <v>24</v>
      </c>
      <c r="F742" t="s">
        <v>25</v>
      </c>
      <c r="G742" t="s">
        <v>26</v>
      </c>
      <c r="H742">
        <v>1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P742">
        <v>81.5</v>
      </c>
    </row>
    <row r="743" spans="1:16">
      <c r="A743" t="s">
        <v>771</v>
      </c>
      <c r="B743" s="2">
        <v>45678</v>
      </c>
      <c r="C743" t="s">
        <v>723</v>
      </c>
      <c r="D743" t="s">
        <v>18</v>
      </c>
      <c r="E743" t="s">
        <v>34</v>
      </c>
      <c r="F743" t="s">
        <v>41</v>
      </c>
      <c r="G743" t="s">
        <v>21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</v>
      </c>
      <c r="N743">
        <v>0</v>
      </c>
      <c r="P743">
        <v>37.9</v>
      </c>
    </row>
    <row r="744" spans="1:16">
      <c r="A744" t="s">
        <v>772</v>
      </c>
      <c r="B744" s="2">
        <v>45702</v>
      </c>
      <c r="C744" t="s">
        <v>723</v>
      </c>
      <c r="D744" t="s">
        <v>18</v>
      </c>
      <c r="E744" t="s">
        <v>24</v>
      </c>
      <c r="F744" t="s">
        <v>39</v>
      </c>
      <c r="G744" t="s">
        <v>26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P744">
        <v>61.7</v>
      </c>
    </row>
    <row r="745" spans="1:16">
      <c r="A745" t="s">
        <v>773</v>
      </c>
      <c r="B745" s="2">
        <v>45746</v>
      </c>
      <c r="C745" t="s">
        <v>723</v>
      </c>
      <c r="D745" t="s">
        <v>18</v>
      </c>
      <c r="E745" t="s">
        <v>19</v>
      </c>
      <c r="G745" t="s">
        <v>30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2</v>
      </c>
      <c r="N745">
        <v>0</v>
      </c>
      <c r="P745">
        <v>53.2</v>
      </c>
    </row>
    <row r="746" spans="1:16">
      <c r="A746" t="s">
        <v>774</v>
      </c>
      <c r="B746" s="2">
        <v>45665</v>
      </c>
      <c r="C746" t="s">
        <v>723</v>
      </c>
      <c r="D746" t="s">
        <v>18</v>
      </c>
      <c r="E746" t="s">
        <v>24</v>
      </c>
      <c r="F746" t="s">
        <v>39</v>
      </c>
      <c r="G746" t="s">
        <v>26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61.9</v>
      </c>
    </row>
    <row r="747" spans="1:16">
      <c r="A747" t="s">
        <v>775</v>
      </c>
      <c r="B747" s="2">
        <v>45695</v>
      </c>
      <c r="C747" t="s">
        <v>723</v>
      </c>
      <c r="D747" t="s">
        <v>18</v>
      </c>
      <c r="E747" t="s">
        <v>24</v>
      </c>
      <c r="F747" t="s">
        <v>41</v>
      </c>
      <c r="G747" t="s">
        <v>26</v>
      </c>
      <c r="H747">
        <v>1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P747">
        <v>68.900000000000006</v>
      </c>
    </row>
    <row r="748" spans="1:16">
      <c r="A748" t="s">
        <v>776</v>
      </c>
      <c r="B748" s="2">
        <v>45689</v>
      </c>
      <c r="C748" t="s">
        <v>723</v>
      </c>
      <c r="D748" t="s">
        <v>18</v>
      </c>
      <c r="E748" t="s">
        <v>34</v>
      </c>
      <c r="F748" t="s">
        <v>29</v>
      </c>
      <c r="G748" t="s">
        <v>21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66.3</v>
      </c>
    </row>
    <row r="749" spans="1:16">
      <c r="A749" t="s">
        <v>777</v>
      </c>
      <c r="B749" s="2">
        <v>45661</v>
      </c>
      <c r="C749" t="s">
        <v>723</v>
      </c>
      <c r="D749" t="s">
        <v>28</v>
      </c>
      <c r="E749" t="s">
        <v>24</v>
      </c>
      <c r="F749" t="s">
        <v>20</v>
      </c>
      <c r="G749" t="s">
        <v>26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P749">
        <v>54.6</v>
      </c>
    </row>
    <row r="750" spans="1:16">
      <c r="A750" t="s">
        <v>778</v>
      </c>
      <c r="B750" s="2">
        <v>45793</v>
      </c>
      <c r="C750" t="s">
        <v>723</v>
      </c>
      <c r="D750" t="s">
        <v>32</v>
      </c>
      <c r="E750" t="s">
        <v>19</v>
      </c>
      <c r="F750" t="s">
        <v>39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53.8</v>
      </c>
    </row>
    <row r="751" spans="1:16">
      <c r="A751" t="s">
        <v>779</v>
      </c>
      <c r="B751" s="2">
        <v>45716</v>
      </c>
      <c r="C751" t="s">
        <v>723</v>
      </c>
      <c r="D751" t="s">
        <v>23</v>
      </c>
      <c r="E751" t="s">
        <v>24</v>
      </c>
      <c r="F751" t="s">
        <v>39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59.5</v>
      </c>
    </row>
    <row r="752" spans="1:16">
      <c r="A752" t="s">
        <v>780</v>
      </c>
      <c r="B752" s="2">
        <v>45759</v>
      </c>
      <c r="C752" t="s">
        <v>723</v>
      </c>
      <c r="D752" t="s">
        <v>18</v>
      </c>
      <c r="E752" t="s">
        <v>24</v>
      </c>
      <c r="F752" t="s">
        <v>39</v>
      </c>
      <c r="G752" t="s">
        <v>26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52.6</v>
      </c>
    </row>
    <row r="753" spans="1:16">
      <c r="A753" t="s">
        <v>781</v>
      </c>
      <c r="B753" s="2">
        <v>45739</v>
      </c>
      <c r="C753" t="s">
        <v>723</v>
      </c>
      <c r="D753" t="s">
        <v>32</v>
      </c>
      <c r="E753" t="s">
        <v>19</v>
      </c>
      <c r="F753" t="s">
        <v>25</v>
      </c>
      <c r="G753" t="s">
        <v>26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49</v>
      </c>
    </row>
    <row r="754" spans="1:16">
      <c r="A754" t="s">
        <v>782</v>
      </c>
      <c r="B754" s="2">
        <v>45806</v>
      </c>
      <c r="C754" t="s">
        <v>723</v>
      </c>
      <c r="D754" t="s">
        <v>18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59.3</v>
      </c>
    </row>
    <row r="755" spans="1:16">
      <c r="A755" t="s">
        <v>783</v>
      </c>
      <c r="B755" s="2">
        <v>45798</v>
      </c>
      <c r="C755" t="s">
        <v>723</v>
      </c>
      <c r="D755" t="s">
        <v>32</v>
      </c>
      <c r="E755" t="s">
        <v>19</v>
      </c>
      <c r="F755" t="s">
        <v>25</v>
      </c>
      <c r="G755" t="s">
        <v>21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P755">
        <v>67.2</v>
      </c>
    </row>
    <row r="756" spans="1:16">
      <c r="A756" t="s">
        <v>784</v>
      </c>
      <c r="B756" s="2">
        <v>45662</v>
      </c>
      <c r="C756" t="s">
        <v>723</v>
      </c>
      <c r="D756" t="s">
        <v>32</v>
      </c>
      <c r="E756" t="s">
        <v>24</v>
      </c>
      <c r="F756" t="s">
        <v>39</v>
      </c>
      <c r="G756" t="s">
        <v>30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73.5</v>
      </c>
    </row>
    <row r="757" spans="1:16">
      <c r="A757" t="s">
        <v>785</v>
      </c>
      <c r="B757" s="2">
        <v>45735</v>
      </c>
      <c r="C757" t="s">
        <v>723</v>
      </c>
      <c r="D757" t="s">
        <v>28</v>
      </c>
      <c r="E757" t="s">
        <v>34</v>
      </c>
      <c r="F757" t="s">
        <v>25</v>
      </c>
      <c r="G757" t="s">
        <v>26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61.2</v>
      </c>
    </row>
    <row r="758" spans="1:16">
      <c r="A758" t="s">
        <v>786</v>
      </c>
      <c r="B758" s="2">
        <v>45771</v>
      </c>
      <c r="C758" t="s">
        <v>723</v>
      </c>
      <c r="D758" t="s">
        <v>28</v>
      </c>
      <c r="E758" t="s">
        <v>24</v>
      </c>
      <c r="F758" t="s">
        <v>25</v>
      </c>
      <c r="G758" t="s">
        <v>26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56.4</v>
      </c>
    </row>
    <row r="759" spans="1:16">
      <c r="A759" t="s">
        <v>787</v>
      </c>
      <c r="B759" s="2">
        <v>45726</v>
      </c>
      <c r="C759" t="s">
        <v>723</v>
      </c>
      <c r="D759" t="s">
        <v>18</v>
      </c>
      <c r="E759" t="s">
        <v>34</v>
      </c>
      <c r="F759" t="s">
        <v>25</v>
      </c>
      <c r="G759" t="s">
        <v>26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</v>
      </c>
      <c r="N759">
        <v>0</v>
      </c>
      <c r="P759">
        <v>72.599999999999994</v>
      </c>
    </row>
    <row r="760" spans="1:16">
      <c r="A760" t="s">
        <v>788</v>
      </c>
      <c r="B760" s="2">
        <v>45710</v>
      </c>
      <c r="C760" t="s">
        <v>723</v>
      </c>
      <c r="D760" t="s">
        <v>32</v>
      </c>
      <c r="E760" t="s">
        <v>34</v>
      </c>
      <c r="F760" t="s">
        <v>39</v>
      </c>
      <c r="G760" t="s">
        <v>21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61.7</v>
      </c>
    </row>
    <row r="761" spans="1:16">
      <c r="A761" t="s">
        <v>789</v>
      </c>
      <c r="B761" s="2">
        <v>45794</v>
      </c>
      <c r="C761" t="s">
        <v>723</v>
      </c>
      <c r="D761" t="s">
        <v>28</v>
      </c>
      <c r="E761" t="s">
        <v>24</v>
      </c>
      <c r="F761" t="s">
        <v>41</v>
      </c>
      <c r="G761" t="s">
        <v>26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P761">
        <v>66.900000000000006</v>
      </c>
    </row>
    <row r="762" spans="1:16">
      <c r="A762" t="s">
        <v>790</v>
      </c>
      <c r="B762" s="2">
        <v>45786</v>
      </c>
      <c r="C762" t="s">
        <v>723</v>
      </c>
      <c r="D762" t="s">
        <v>28</v>
      </c>
      <c r="E762" t="s">
        <v>34</v>
      </c>
      <c r="F762" t="s">
        <v>39</v>
      </c>
      <c r="G762" t="s">
        <v>30</v>
      </c>
      <c r="H762">
        <v>1</v>
      </c>
      <c r="I762">
        <v>1</v>
      </c>
      <c r="J762">
        <v>1</v>
      </c>
      <c r="K762">
        <v>1</v>
      </c>
      <c r="L762">
        <v>1506.24</v>
      </c>
      <c r="M762">
        <v>1</v>
      </c>
      <c r="N762">
        <v>0</v>
      </c>
      <c r="O762">
        <v>7</v>
      </c>
      <c r="P762">
        <v>64.900000000000006</v>
      </c>
    </row>
    <row r="763" spans="1:16">
      <c r="A763" t="s">
        <v>791</v>
      </c>
      <c r="B763" s="2">
        <v>45773</v>
      </c>
      <c r="C763" t="s">
        <v>723</v>
      </c>
      <c r="D763" t="s">
        <v>28</v>
      </c>
      <c r="E763" t="s">
        <v>34</v>
      </c>
      <c r="F763" t="s">
        <v>25</v>
      </c>
      <c r="G763" t="s">
        <v>30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57.5</v>
      </c>
    </row>
    <row r="764" spans="1:16">
      <c r="A764" t="s">
        <v>792</v>
      </c>
      <c r="B764" s="2">
        <v>45731</v>
      </c>
      <c r="C764" t="s">
        <v>723</v>
      </c>
      <c r="D764" t="s">
        <v>23</v>
      </c>
      <c r="E764" t="s">
        <v>19</v>
      </c>
      <c r="F764" t="s">
        <v>41</v>
      </c>
      <c r="G764" t="s">
        <v>26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P764">
        <v>76.3</v>
      </c>
    </row>
    <row r="765" spans="1:16">
      <c r="A765" t="s">
        <v>793</v>
      </c>
      <c r="B765" s="2">
        <v>45750</v>
      </c>
      <c r="C765" t="s">
        <v>723</v>
      </c>
      <c r="D765" t="s">
        <v>18</v>
      </c>
      <c r="E765" t="s">
        <v>24</v>
      </c>
      <c r="F765" t="s">
        <v>29</v>
      </c>
      <c r="G765" t="s">
        <v>26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47.5</v>
      </c>
    </row>
    <row r="766" spans="1:16">
      <c r="A766" t="s">
        <v>794</v>
      </c>
      <c r="B766" s="2">
        <v>45742</v>
      </c>
      <c r="C766" t="s">
        <v>723</v>
      </c>
      <c r="D766" t="s">
        <v>32</v>
      </c>
      <c r="E766" t="s">
        <v>24</v>
      </c>
      <c r="F766" t="s">
        <v>29</v>
      </c>
      <c r="G766" t="s">
        <v>26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6">
      <c r="A767" t="s">
        <v>795</v>
      </c>
      <c r="B767" s="2">
        <v>45693</v>
      </c>
      <c r="C767" t="s">
        <v>723</v>
      </c>
      <c r="D767" t="s">
        <v>23</v>
      </c>
      <c r="E767" t="s">
        <v>19</v>
      </c>
      <c r="F767" t="s">
        <v>25</v>
      </c>
      <c r="G767" t="s">
        <v>21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2</v>
      </c>
      <c r="N767">
        <v>0</v>
      </c>
      <c r="P767">
        <v>71.599999999999994</v>
      </c>
    </row>
    <row r="768" spans="1:16">
      <c r="A768" t="s">
        <v>796</v>
      </c>
      <c r="B768" s="2">
        <v>45785</v>
      </c>
      <c r="C768" t="s">
        <v>723</v>
      </c>
      <c r="D768" t="s">
        <v>32</v>
      </c>
      <c r="E768" t="s">
        <v>24</v>
      </c>
      <c r="F768" t="s">
        <v>41</v>
      </c>
      <c r="G768" t="s">
        <v>21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P768">
        <v>55.8</v>
      </c>
    </row>
    <row r="769" spans="1:16">
      <c r="A769" t="s">
        <v>797</v>
      </c>
      <c r="B769" s="2">
        <v>45741</v>
      </c>
      <c r="C769" t="s">
        <v>723</v>
      </c>
      <c r="D769" t="s">
        <v>32</v>
      </c>
      <c r="E769" t="s">
        <v>19</v>
      </c>
      <c r="F769" t="s">
        <v>25</v>
      </c>
      <c r="G769" t="s">
        <v>21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P769">
        <v>60.1</v>
      </c>
    </row>
    <row r="770" spans="1:16">
      <c r="A770" t="s">
        <v>798</v>
      </c>
      <c r="B770" s="2">
        <v>45671</v>
      </c>
      <c r="C770" t="s">
        <v>723</v>
      </c>
      <c r="D770" t="s">
        <v>23</v>
      </c>
      <c r="F770" t="s">
        <v>20</v>
      </c>
      <c r="G770" t="s">
        <v>21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1</v>
      </c>
      <c r="N770">
        <v>0</v>
      </c>
      <c r="P770">
        <v>59.3</v>
      </c>
    </row>
    <row r="771" spans="1:16">
      <c r="A771" t="s">
        <v>799</v>
      </c>
      <c r="B771" s="2">
        <v>45742</v>
      </c>
      <c r="C771" t="s">
        <v>723</v>
      </c>
      <c r="D771" t="s">
        <v>18</v>
      </c>
      <c r="E771" t="s">
        <v>24</v>
      </c>
      <c r="F771" t="s">
        <v>25</v>
      </c>
      <c r="G771" t="s">
        <v>26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2</v>
      </c>
      <c r="N771">
        <v>0</v>
      </c>
      <c r="P771">
        <v>49.3</v>
      </c>
    </row>
    <row r="772" spans="1:16">
      <c r="A772" t="s">
        <v>800</v>
      </c>
      <c r="B772" s="2">
        <v>45673</v>
      </c>
      <c r="C772" t="s">
        <v>723</v>
      </c>
      <c r="D772" t="s">
        <v>28</v>
      </c>
      <c r="E772" t="s">
        <v>24</v>
      </c>
      <c r="F772" t="s">
        <v>39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75</v>
      </c>
    </row>
    <row r="773" spans="1:16">
      <c r="A773" t="s">
        <v>801</v>
      </c>
      <c r="B773" s="2">
        <v>45661</v>
      </c>
      <c r="C773" t="s">
        <v>723</v>
      </c>
      <c r="D773" t="s">
        <v>28</v>
      </c>
      <c r="E773" t="s">
        <v>24</v>
      </c>
      <c r="F773" t="s">
        <v>41</v>
      </c>
      <c r="G773" t="s">
        <v>26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70.2</v>
      </c>
    </row>
    <row r="774" spans="1:16">
      <c r="A774" t="s">
        <v>802</v>
      </c>
      <c r="B774" s="2">
        <v>45697</v>
      </c>
      <c r="C774" t="s">
        <v>723</v>
      </c>
      <c r="D774" t="s">
        <v>32</v>
      </c>
      <c r="E774" t="s">
        <v>19</v>
      </c>
      <c r="F774" t="s">
        <v>25</v>
      </c>
      <c r="G774" t="s">
        <v>30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P774">
        <v>56.6</v>
      </c>
    </row>
    <row r="775" spans="1:16">
      <c r="A775" t="s">
        <v>803</v>
      </c>
      <c r="B775" s="2">
        <v>45721</v>
      </c>
      <c r="C775" t="s">
        <v>723</v>
      </c>
      <c r="D775" t="s">
        <v>28</v>
      </c>
      <c r="E775" t="s">
        <v>19</v>
      </c>
      <c r="F775" t="s">
        <v>25</v>
      </c>
      <c r="G775" t="s">
        <v>26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65.400000000000006</v>
      </c>
    </row>
    <row r="776" spans="1:16">
      <c r="A776" t="s">
        <v>804</v>
      </c>
      <c r="B776" s="2">
        <v>45726</v>
      </c>
      <c r="C776" t="s">
        <v>723</v>
      </c>
      <c r="D776" t="s">
        <v>28</v>
      </c>
      <c r="E776" t="s">
        <v>24</v>
      </c>
      <c r="F776" t="s">
        <v>39</v>
      </c>
      <c r="G776" t="s">
        <v>21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47.6</v>
      </c>
    </row>
    <row r="777" spans="1:16">
      <c r="A777" t="s">
        <v>805</v>
      </c>
      <c r="B777" s="2">
        <v>45715</v>
      </c>
      <c r="C777" t="s">
        <v>723</v>
      </c>
      <c r="D777" t="s">
        <v>28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56.7</v>
      </c>
    </row>
    <row r="778" spans="1:16">
      <c r="A778" t="s">
        <v>806</v>
      </c>
      <c r="B778" s="2">
        <v>45726</v>
      </c>
      <c r="C778" t="s">
        <v>723</v>
      </c>
      <c r="D778" t="s">
        <v>18</v>
      </c>
      <c r="E778" t="s">
        <v>19</v>
      </c>
      <c r="F778" t="s">
        <v>39</v>
      </c>
      <c r="G778" t="s">
        <v>21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71.400000000000006</v>
      </c>
    </row>
    <row r="779" spans="1:16">
      <c r="A779" t="s">
        <v>807</v>
      </c>
      <c r="B779" s="2">
        <v>45770</v>
      </c>
      <c r="C779" t="s">
        <v>723</v>
      </c>
      <c r="D779" t="s">
        <v>23</v>
      </c>
      <c r="E779" t="s">
        <v>24</v>
      </c>
      <c r="F779" t="s">
        <v>41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</v>
      </c>
      <c r="N779">
        <v>0</v>
      </c>
      <c r="P779">
        <v>60.5</v>
      </c>
    </row>
    <row r="780" spans="1:16">
      <c r="A780" t="s">
        <v>808</v>
      </c>
      <c r="B780" s="2">
        <v>45759</v>
      </c>
      <c r="C780" t="s">
        <v>723</v>
      </c>
      <c r="D780" t="s">
        <v>18</v>
      </c>
      <c r="E780" t="s">
        <v>19</v>
      </c>
      <c r="F780" t="s">
        <v>29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46.7</v>
      </c>
    </row>
    <row r="781" spans="1:16">
      <c r="A781" t="s">
        <v>809</v>
      </c>
      <c r="B781" s="2">
        <v>45683</v>
      </c>
      <c r="C781" t="s">
        <v>723</v>
      </c>
      <c r="D781" t="s">
        <v>28</v>
      </c>
      <c r="E781" t="s">
        <v>19</v>
      </c>
      <c r="F781" t="s">
        <v>39</v>
      </c>
      <c r="G781" t="s">
        <v>26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61</v>
      </c>
    </row>
    <row r="782" spans="1:16">
      <c r="A782" t="s">
        <v>810</v>
      </c>
      <c r="B782" s="2">
        <v>45801</v>
      </c>
      <c r="C782" t="s">
        <v>723</v>
      </c>
      <c r="D782" t="s">
        <v>23</v>
      </c>
      <c r="E782" t="s">
        <v>34</v>
      </c>
      <c r="F782" t="s">
        <v>29</v>
      </c>
      <c r="G782" t="s">
        <v>26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60.9</v>
      </c>
    </row>
    <row r="783" spans="1:16">
      <c r="A783" t="s">
        <v>811</v>
      </c>
      <c r="B783" s="2">
        <v>45665</v>
      </c>
      <c r="C783" t="s">
        <v>723</v>
      </c>
      <c r="D783" t="s">
        <v>32</v>
      </c>
      <c r="E783" t="s">
        <v>24</v>
      </c>
      <c r="F783" t="s">
        <v>25</v>
      </c>
      <c r="G783" t="s">
        <v>26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P783">
        <v>67.099999999999994</v>
      </c>
    </row>
    <row r="784" spans="1:16">
      <c r="A784" t="s">
        <v>812</v>
      </c>
      <c r="B784" s="2">
        <v>45762</v>
      </c>
      <c r="C784" t="s">
        <v>723</v>
      </c>
      <c r="D784" t="s">
        <v>18</v>
      </c>
      <c r="E784" t="s">
        <v>24</v>
      </c>
      <c r="F784" t="s">
        <v>39</v>
      </c>
      <c r="G784" t="s">
        <v>26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59.6</v>
      </c>
    </row>
    <row r="785" spans="1:16">
      <c r="A785" t="s">
        <v>813</v>
      </c>
      <c r="B785" s="2">
        <v>45672</v>
      </c>
      <c r="C785" t="s">
        <v>723</v>
      </c>
      <c r="D785" t="s">
        <v>32</v>
      </c>
      <c r="E785" t="s">
        <v>19</v>
      </c>
      <c r="F785" t="s">
        <v>29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83.8</v>
      </c>
    </row>
    <row r="786" spans="1:16">
      <c r="A786" t="s">
        <v>814</v>
      </c>
      <c r="B786" s="2">
        <v>45716</v>
      </c>
      <c r="C786" t="s">
        <v>723</v>
      </c>
      <c r="D786" t="s">
        <v>18</v>
      </c>
      <c r="E786" t="s">
        <v>24</v>
      </c>
      <c r="F786" t="s">
        <v>25</v>
      </c>
      <c r="G786" t="s">
        <v>21</v>
      </c>
      <c r="H786">
        <v>1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P786">
        <v>70.8</v>
      </c>
    </row>
    <row r="787" spans="1:16">
      <c r="A787" t="s">
        <v>815</v>
      </c>
      <c r="B787" s="2">
        <v>45658</v>
      </c>
      <c r="C787" t="s">
        <v>723</v>
      </c>
      <c r="D787" t="s">
        <v>18</v>
      </c>
      <c r="E787" t="s">
        <v>34</v>
      </c>
      <c r="F787" t="s">
        <v>25</v>
      </c>
      <c r="G787" t="s">
        <v>21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65.900000000000006</v>
      </c>
    </row>
    <row r="788" spans="1:16">
      <c r="A788" t="s">
        <v>816</v>
      </c>
      <c r="B788" s="2">
        <v>45764</v>
      </c>
      <c r="C788" t="s">
        <v>723</v>
      </c>
      <c r="D788" t="s">
        <v>23</v>
      </c>
      <c r="E788" t="s">
        <v>24</v>
      </c>
      <c r="F788" t="s">
        <v>39</v>
      </c>
      <c r="G788" t="s">
        <v>26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58</v>
      </c>
    </row>
    <row r="789" spans="1:16">
      <c r="A789" t="s">
        <v>817</v>
      </c>
      <c r="B789" s="2">
        <v>45707</v>
      </c>
      <c r="C789" t="s">
        <v>723</v>
      </c>
      <c r="D789" t="s">
        <v>18</v>
      </c>
      <c r="E789" t="s">
        <v>24</v>
      </c>
      <c r="F789" t="s">
        <v>20</v>
      </c>
      <c r="G789" t="s">
        <v>21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80.3</v>
      </c>
    </row>
    <row r="790" spans="1:16">
      <c r="A790" t="s">
        <v>818</v>
      </c>
      <c r="B790" s="2">
        <v>45730</v>
      </c>
      <c r="C790" t="s">
        <v>723</v>
      </c>
      <c r="D790" t="s">
        <v>18</v>
      </c>
      <c r="E790" t="s">
        <v>19</v>
      </c>
      <c r="F790" t="s">
        <v>25</v>
      </c>
      <c r="G790" t="s">
        <v>26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55.7</v>
      </c>
    </row>
    <row r="791" spans="1:16">
      <c r="A791" t="s">
        <v>819</v>
      </c>
      <c r="B791" s="2">
        <v>45768</v>
      </c>
      <c r="C791" t="s">
        <v>723</v>
      </c>
      <c r="D791" t="s">
        <v>18</v>
      </c>
      <c r="E791" t="s">
        <v>24</v>
      </c>
      <c r="F791" t="s">
        <v>25</v>
      </c>
      <c r="G791" t="s">
        <v>26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84.9</v>
      </c>
    </row>
    <row r="792" spans="1:16">
      <c r="A792" t="s">
        <v>820</v>
      </c>
      <c r="B792" s="2">
        <v>45702</v>
      </c>
      <c r="C792" t="s">
        <v>723</v>
      </c>
      <c r="D792" t="s">
        <v>18</v>
      </c>
      <c r="E792" t="s">
        <v>24</v>
      </c>
      <c r="F792" t="s">
        <v>25</v>
      </c>
      <c r="G792" t="s">
        <v>26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63.3</v>
      </c>
    </row>
    <row r="793" spans="1:16">
      <c r="A793" t="s">
        <v>821</v>
      </c>
      <c r="B793" s="2">
        <v>45807</v>
      </c>
      <c r="C793" t="s">
        <v>723</v>
      </c>
      <c r="D793" t="s">
        <v>23</v>
      </c>
      <c r="E793" t="s">
        <v>24</v>
      </c>
      <c r="F793" t="s">
        <v>25</v>
      </c>
      <c r="G793" t="s">
        <v>26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P793">
        <v>53.1</v>
      </c>
    </row>
    <row r="794" spans="1:16">
      <c r="A794" t="s">
        <v>822</v>
      </c>
      <c r="B794" s="2">
        <v>45677</v>
      </c>
      <c r="C794" t="s">
        <v>723</v>
      </c>
      <c r="D794" t="s">
        <v>23</v>
      </c>
      <c r="E794" t="s">
        <v>24</v>
      </c>
      <c r="F794" t="s">
        <v>25</v>
      </c>
      <c r="G794" t="s">
        <v>26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</v>
      </c>
    </row>
    <row r="795" spans="1:16">
      <c r="A795" t="s">
        <v>823</v>
      </c>
      <c r="B795" s="2">
        <v>45733</v>
      </c>
      <c r="C795" t="s">
        <v>723</v>
      </c>
      <c r="D795" t="s">
        <v>23</v>
      </c>
      <c r="E795" t="s">
        <v>24</v>
      </c>
      <c r="F795" t="s">
        <v>41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54.7</v>
      </c>
    </row>
    <row r="796" spans="1:16">
      <c r="A796" t="s">
        <v>824</v>
      </c>
      <c r="B796" s="2">
        <v>45720</v>
      </c>
      <c r="C796" t="s">
        <v>723</v>
      </c>
      <c r="D796" t="s">
        <v>23</v>
      </c>
      <c r="E796" t="s">
        <v>24</v>
      </c>
      <c r="F796" t="s">
        <v>41</v>
      </c>
      <c r="G796" t="s">
        <v>26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1</v>
      </c>
      <c r="N796">
        <v>0</v>
      </c>
      <c r="P796">
        <v>41.2</v>
      </c>
    </row>
    <row r="797" spans="1:16">
      <c r="A797" t="s">
        <v>825</v>
      </c>
      <c r="B797" s="2">
        <v>45710</v>
      </c>
      <c r="C797" t="s">
        <v>723</v>
      </c>
      <c r="D797" t="s">
        <v>32</v>
      </c>
      <c r="E797" t="s">
        <v>24</v>
      </c>
      <c r="F797" t="s">
        <v>25</v>
      </c>
      <c r="G797" t="s">
        <v>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66.7</v>
      </c>
    </row>
    <row r="798" spans="1:16">
      <c r="A798" t="s">
        <v>826</v>
      </c>
      <c r="B798" s="2">
        <v>45779</v>
      </c>
      <c r="C798" t="s">
        <v>723</v>
      </c>
      <c r="D798" t="s">
        <v>18</v>
      </c>
      <c r="E798" t="s">
        <v>24</v>
      </c>
      <c r="F798" t="s">
        <v>29</v>
      </c>
      <c r="G798" t="s">
        <v>30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39.4</v>
      </c>
    </row>
    <row r="799" spans="1:16">
      <c r="A799" t="s">
        <v>827</v>
      </c>
      <c r="B799" s="2">
        <v>45729</v>
      </c>
      <c r="C799" t="s">
        <v>723</v>
      </c>
      <c r="D799" t="s">
        <v>23</v>
      </c>
      <c r="E799" t="s">
        <v>19</v>
      </c>
      <c r="F799" t="s">
        <v>25</v>
      </c>
      <c r="G799" t="s">
        <v>30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3</v>
      </c>
      <c r="N799">
        <v>0</v>
      </c>
      <c r="P799">
        <v>67</v>
      </c>
    </row>
    <row r="800" spans="1:16">
      <c r="A800" t="s">
        <v>828</v>
      </c>
      <c r="B800" s="2">
        <v>45808</v>
      </c>
      <c r="C800" t="s">
        <v>723</v>
      </c>
      <c r="D800" t="s">
        <v>32</v>
      </c>
      <c r="E800" t="s">
        <v>24</v>
      </c>
      <c r="F800" t="s">
        <v>25</v>
      </c>
      <c r="G800" t="s">
        <v>21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P800">
        <v>50.4</v>
      </c>
    </row>
    <row r="801" spans="1:16">
      <c r="A801" t="s">
        <v>829</v>
      </c>
      <c r="B801" s="2">
        <v>45723</v>
      </c>
      <c r="C801" t="s">
        <v>723</v>
      </c>
      <c r="D801" t="s">
        <v>23</v>
      </c>
      <c r="E801" t="s">
        <v>19</v>
      </c>
      <c r="F801" t="s">
        <v>41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53.8</v>
      </c>
    </row>
    <row r="802" spans="1:16">
      <c r="A802" t="s">
        <v>830</v>
      </c>
      <c r="B802" s="2">
        <v>45710</v>
      </c>
      <c r="C802" t="s">
        <v>723</v>
      </c>
      <c r="D802" t="s">
        <v>23</v>
      </c>
      <c r="E802" t="s">
        <v>24</v>
      </c>
      <c r="F802" t="s">
        <v>29</v>
      </c>
      <c r="G802" t="s">
        <v>21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P802">
        <v>82.7</v>
      </c>
    </row>
    <row r="803" spans="1:16">
      <c r="A803" t="s">
        <v>831</v>
      </c>
      <c r="B803" s="2">
        <v>45662</v>
      </c>
      <c r="C803" t="s">
        <v>723</v>
      </c>
      <c r="D803" t="s">
        <v>23</v>
      </c>
      <c r="E803" t="s">
        <v>19</v>
      </c>
      <c r="F803" t="s">
        <v>29</v>
      </c>
      <c r="G803" t="s">
        <v>26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63.9</v>
      </c>
    </row>
    <row r="804" spans="1:16">
      <c r="A804" t="s">
        <v>832</v>
      </c>
      <c r="B804" s="2">
        <v>45678</v>
      </c>
      <c r="C804" t="s">
        <v>723</v>
      </c>
      <c r="D804" t="s">
        <v>23</v>
      </c>
      <c r="E804" t="s">
        <v>24</v>
      </c>
      <c r="F804" t="s">
        <v>39</v>
      </c>
      <c r="G804" t="s">
        <v>26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61.9</v>
      </c>
    </row>
    <row r="805" spans="1:16">
      <c r="A805" t="s">
        <v>833</v>
      </c>
      <c r="B805" s="2">
        <v>45682</v>
      </c>
      <c r="C805" t="s">
        <v>723</v>
      </c>
      <c r="D805" t="s">
        <v>18</v>
      </c>
      <c r="E805" t="s">
        <v>19</v>
      </c>
      <c r="F805" t="s">
        <v>41</v>
      </c>
      <c r="G805" t="s">
        <v>26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P805">
        <v>75</v>
      </c>
    </row>
    <row r="806" spans="1:16">
      <c r="A806" t="s">
        <v>834</v>
      </c>
      <c r="B806" s="2">
        <v>45751</v>
      </c>
      <c r="C806" t="s">
        <v>723</v>
      </c>
      <c r="D806" t="s">
        <v>23</v>
      </c>
      <c r="E806" t="s">
        <v>24</v>
      </c>
      <c r="F806" t="s">
        <v>29</v>
      </c>
      <c r="G806" t="s">
        <v>21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P806">
        <v>43</v>
      </c>
    </row>
    <row r="807" spans="1:16">
      <c r="A807" t="s">
        <v>835</v>
      </c>
      <c r="B807" s="2">
        <v>45741</v>
      </c>
      <c r="C807" t="s">
        <v>723</v>
      </c>
      <c r="D807" t="s">
        <v>18</v>
      </c>
      <c r="E807" t="s">
        <v>19</v>
      </c>
      <c r="F807" t="s">
        <v>41</v>
      </c>
      <c r="G807" t="s">
        <v>30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P807">
        <v>54.3</v>
      </c>
    </row>
    <row r="808" spans="1:16">
      <c r="A808" t="s">
        <v>836</v>
      </c>
      <c r="B808" s="2">
        <v>45735</v>
      </c>
      <c r="C808" t="s">
        <v>723</v>
      </c>
      <c r="D808" t="s">
        <v>23</v>
      </c>
      <c r="E808" t="s">
        <v>24</v>
      </c>
      <c r="F808" t="s">
        <v>41</v>
      </c>
      <c r="G808" t="s">
        <v>26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P808">
        <v>44.3</v>
      </c>
    </row>
    <row r="809" spans="1:16">
      <c r="A809" t="s">
        <v>837</v>
      </c>
      <c r="B809" s="2">
        <v>45771</v>
      </c>
      <c r="C809" t="s">
        <v>723</v>
      </c>
      <c r="D809" t="s">
        <v>23</v>
      </c>
      <c r="E809" t="s">
        <v>19</v>
      </c>
      <c r="F809" t="s">
        <v>25</v>
      </c>
      <c r="G809" t="s">
        <v>26</v>
      </c>
      <c r="H809">
        <v>1</v>
      </c>
      <c r="I809">
        <v>1</v>
      </c>
      <c r="J809">
        <v>1</v>
      </c>
      <c r="K809">
        <v>1</v>
      </c>
      <c r="L809">
        <v>402.88</v>
      </c>
      <c r="M809">
        <v>0</v>
      </c>
      <c r="N809">
        <v>0</v>
      </c>
      <c r="O809">
        <v>12</v>
      </c>
      <c r="P809">
        <v>76</v>
      </c>
    </row>
    <row r="810" spans="1:16">
      <c r="A810" t="s">
        <v>838</v>
      </c>
      <c r="B810" s="2">
        <v>45751</v>
      </c>
      <c r="C810" t="s">
        <v>723</v>
      </c>
      <c r="D810" t="s">
        <v>32</v>
      </c>
      <c r="E810" t="s">
        <v>34</v>
      </c>
      <c r="F810" t="s">
        <v>25</v>
      </c>
      <c r="G810" t="s">
        <v>26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0</v>
      </c>
      <c r="P810">
        <v>65.3</v>
      </c>
    </row>
    <row r="811" spans="1:16">
      <c r="A811" t="s">
        <v>839</v>
      </c>
      <c r="B811" s="2">
        <v>45744</v>
      </c>
      <c r="C811" t="s">
        <v>723</v>
      </c>
      <c r="D811" t="s">
        <v>32</v>
      </c>
      <c r="E811" t="s">
        <v>19</v>
      </c>
      <c r="F811" t="s">
        <v>29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71.2</v>
      </c>
    </row>
    <row r="812" spans="1:16">
      <c r="A812" t="s">
        <v>840</v>
      </c>
      <c r="B812" s="2">
        <v>45792</v>
      </c>
      <c r="C812" t="s">
        <v>723</v>
      </c>
      <c r="D812" t="s">
        <v>32</v>
      </c>
      <c r="E812" t="s">
        <v>34</v>
      </c>
      <c r="F812" t="s">
        <v>29</v>
      </c>
      <c r="G812" t="s">
        <v>26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P812">
        <v>77.900000000000006</v>
      </c>
    </row>
    <row r="813" spans="1:16">
      <c r="A813" t="s">
        <v>841</v>
      </c>
      <c r="B813" s="2">
        <v>45729</v>
      </c>
      <c r="C813" t="s">
        <v>723</v>
      </c>
      <c r="D813" t="s">
        <v>23</v>
      </c>
      <c r="E813" t="s">
        <v>24</v>
      </c>
      <c r="F813" t="s">
        <v>29</v>
      </c>
      <c r="G813" t="s">
        <v>26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48.6</v>
      </c>
    </row>
    <row r="814" spans="1:16">
      <c r="A814" t="s">
        <v>842</v>
      </c>
      <c r="B814" s="2">
        <v>45742</v>
      </c>
      <c r="C814" t="s">
        <v>723</v>
      </c>
      <c r="D814" t="s">
        <v>18</v>
      </c>
      <c r="E814" t="s">
        <v>24</v>
      </c>
      <c r="F814" t="s">
        <v>41</v>
      </c>
      <c r="G814" t="s">
        <v>30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61.9</v>
      </c>
    </row>
    <row r="815" spans="1:16">
      <c r="A815" t="s">
        <v>843</v>
      </c>
      <c r="B815" s="2">
        <v>45666</v>
      </c>
      <c r="C815" t="s">
        <v>723</v>
      </c>
      <c r="D815" t="s">
        <v>18</v>
      </c>
      <c r="E815" t="s">
        <v>24</v>
      </c>
      <c r="F815" t="s">
        <v>41</v>
      </c>
      <c r="G815" t="s">
        <v>21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P815">
        <v>58.7</v>
      </c>
    </row>
    <row r="816" spans="1:16">
      <c r="A816" t="s">
        <v>844</v>
      </c>
      <c r="B816" s="2">
        <v>45783</v>
      </c>
      <c r="C816" t="s">
        <v>723</v>
      </c>
      <c r="D816" t="s">
        <v>32</v>
      </c>
      <c r="E816" t="s">
        <v>19</v>
      </c>
      <c r="F816" t="s">
        <v>29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69.599999999999994</v>
      </c>
    </row>
    <row r="817" spans="1:16">
      <c r="A817" t="s">
        <v>845</v>
      </c>
      <c r="B817" s="2">
        <v>45705</v>
      </c>
      <c r="C817" t="s">
        <v>723</v>
      </c>
      <c r="D817" t="s">
        <v>32</v>
      </c>
      <c r="E817" t="s">
        <v>24</v>
      </c>
      <c r="F817" t="s">
        <v>25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51.5</v>
      </c>
    </row>
    <row r="818" spans="1:16">
      <c r="A818" t="s">
        <v>846</v>
      </c>
      <c r="B818" s="2">
        <v>45752</v>
      </c>
      <c r="C818" t="s">
        <v>723</v>
      </c>
      <c r="D818" t="s">
        <v>28</v>
      </c>
      <c r="E818" t="s">
        <v>24</v>
      </c>
      <c r="F818" t="s">
        <v>29</v>
      </c>
      <c r="G818" t="s">
        <v>26</v>
      </c>
      <c r="H818">
        <v>1</v>
      </c>
      <c r="I818">
        <v>1</v>
      </c>
      <c r="J818">
        <v>1</v>
      </c>
      <c r="K818">
        <v>1</v>
      </c>
      <c r="L818">
        <v>277.69</v>
      </c>
      <c r="M818">
        <v>3</v>
      </c>
      <c r="N818">
        <v>0</v>
      </c>
      <c r="O818">
        <v>8</v>
      </c>
      <c r="P818">
        <v>46</v>
      </c>
    </row>
    <row r="819" spans="1:16">
      <c r="A819" t="s">
        <v>847</v>
      </c>
      <c r="B819" s="2">
        <v>45760</v>
      </c>
      <c r="C819" t="s">
        <v>723</v>
      </c>
      <c r="D819" t="s">
        <v>23</v>
      </c>
      <c r="E819" t="s">
        <v>34</v>
      </c>
      <c r="F819" t="s">
        <v>25</v>
      </c>
      <c r="G819" t="s">
        <v>26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81.7</v>
      </c>
    </row>
    <row r="820" spans="1:16">
      <c r="A820" t="s">
        <v>848</v>
      </c>
      <c r="B820" s="2">
        <v>45797</v>
      </c>
      <c r="C820" t="s">
        <v>723</v>
      </c>
      <c r="D820" t="s">
        <v>28</v>
      </c>
      <c r="E820" t="s">
        <v>19</v>
      </c>
      <c r="F820" t="s">
        <v>39</v>
      </c>
      <c r="G820" t="s">
        <v>26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P820">
        <v>48.3</v>
      </c>
    </row>
    <row r="821" spans="1:16">
      <c r="A821" t="s">
        <v>849</v>
      </c>
      <c r="B821" s="2">
        <v>45747</v>
      </c>
      <c r="C821" t="s">
        <v>723</v>
      </c>
      <c r="D821" t="s">
        <v>28</v>
      </c>
      <c r="E821" t="s">
        <v>24</v>
      </c>
      <c r="F821" t="s">
        <v>20</v>
      </c>
      <c r="G821" t="s">
        <v>26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85.6</v>
      </c>
    </row>
    <row r="822" spans="1:16">
      <c r="A822" t="s">
        <v>850</v>
      </c>
      <c r="B822" s="2">
        <v>45750</v>
      </c>
      <c r="C822" t="s">
        <v>723</v>
      </c>
      <c r="D822" t="s">
        <v>23</v>
      </c>
      <c r="E822" t="s">
        <v>34</v>
      </c>
      <c r="F822" t="s">
        <v>29</v>
      </c>
      <c r="G822" t="s">
        <v>21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53.8</v>
      </c>
    </row>
    <row r="823" spans="1:16">
      <c r="A823" t="s">
        <v>851</v>
      </c>
      <c r="B823" s="2">
        <v>45692</v>
      </c>
      <c r="C823" t="s">
        <v>723</v>
      </c>
      <c r="D823" t="s">
        <v>32</v>
      </c>
      <c r="E823" t="s">
        <v>24</v>
      </c>
      <c r="F823" t="s">
        <v>25</v>
      </c>
      <c r="G823" t="s">
        <v>26</v>
      </c>
      <c r="H823">
        <v>1</v>
      </c>
      <c r="I823">
        <v>1</v>
      </c>
      <c r="J823">
        <v>1</v>
      </c>
      <c r="K823">
        <v>1</v>
      </c>
      <c r="L823">
        <v>460.83</v>
      </c>
      <c r="M823">
        <v>2</v>
      </c>
      <c r="N823">
        <v>0</v>
      </c>
      <c r="O823">
        <v>0</v>
      </c>
      <c r="P823">
        <v>69.7</v>
      </c>
    </row>
    <row r="824" spans="1:16">
      <c r="A824" t="s">
        <v>852</v>
      </c>
      <c r="B824" s="2">
        <v>45796</v>
      </c>
      <c r="C824" t="s">
        <v>723</v>
      </c>
      <c r="D824" t="s">
        <v>28</v>
      </c>
      <c r="E824" t="s">
        <v>24</v>
      </c>
      <c r="F824" t="s">
        <v>25</v>
      </c>
      <c r="G824" t="s">
        <v>26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P824">
        <v>74.8</v>
      </c>
    </row>
    <row r="825" spans="1:16">
      <c r="A825" t="s">
        <v>853</v>
      </c>
      <c r="B825" s="2">
        <v>45724</v>
      </c>
      <c r="C825" t="s">
        <v>723</v>
      </c>
      <c r="D825" t="s">
        <v>28</v>
      </c>
      <c r="E825" t="s">
        <v>19</v>
      </c>
      <c r="F825" t="s">
        <v>29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87.9</v>
      </c>
    </row>
    <row r="826" spans="1:16">
      <c r="A826" t="s">
        <v>854</v>
      </c>
      <c r="B826" s="2">
        <v>45787</v>
      </c>
      <c r="C826" t="s">
        <v>723</v>
      </c>
      <c r="D826" t="s">
        <v>18</v>
      </c>
      <c r="E826" t="s">
        <v>24</v>
      </c>
      <c r="F826" t="s">
        <v>41</v>
      </c>
      <c r="G826" t="s">
        <v>21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P826">
        <v>49.1</v>
      </c>
    </row>
    <row r="827" spans="1:16">
      <c r="A827" t="s">
        <v>855</v>
      </c>
      <c r="B827" s="2">
        <v>45659</v>
      </c>
      <c r="C827" t="s">
        <v>723</v>
      </c>
      <c r="D827" t="s">
        <v>28</v>
      </c>
      <c r="E827" t="s">
        <v>19</v>
      </c>
      <c r="F827" t="s">
        <v>41</v>
      </c>
      <c r="G827" t="s">
        <v>21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2</v>
      </c>
      <c r="N827">
        <v>0</v>
      </c>
      <c r="P827">
        <v>73</v>
      </c>
    </row>
    <row r="828" spans="1:16">
      <c r="A828" t="s">
        <v>856</v>
      </c>
      <c r="B828" s="2">
        <v>45674</v>
      </c>
      <c r="C828" t="s">
        <v>723</v>
      </c>
      <c r="D828" t="s">
        <v>23</v>
      </c>
      <c r="E828" t="s">
        <v>24</v>
      </c>
      <c r="F828" t="s">
        <v>25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79.5</v>
      </c>
    </row>
    <row r="829" spans="1:16">
      <c r="A829" t="s">
        <v>857</v>
      </c>
      <c r="B829" s="2">
        <v>45798</v>
      </c>
      <c r="C829" t="s">
        <v>723</v>
      </c>
      <c r="D829" t="s">
        <v>23</v>
      </c>
      <c r="E829" t="s">
        <v>24</v>
      </c>
      <c r="F829" t="s">
        <v>39</v>
      </c>
      <c r="G829" t="s">
        <v>21</v>
      </c>
      <c r="H829">
        <v>1</v>
      </c>
      <c r="I829">
        <v>1</v>
      </c>
      <c r="J829">
        <v>1</v>
      </c>
      <c r="K829">
        <v>1</v>
      </c>
      <c r="L829">
        <v>782.23</v>
      </c>
      <c r="M829">
        <v>1</v>
      </c>
      <c r="N829">
        <v>0</v>
      </c>
      <c r="O829">
        <v>6</v>
      </c>
      <c r="P829">
        <v>93.2</v>
      </c>
    </row>
    <row r="830" spans="1:16">
      <c r="A830" t="s">
        <v>858</v>
      </c>
      <c r="B830" s="2">
        <v>45802</v>
      </c>
      <c r="C830" t="s">
        <v>723</v>
      </c>
      <c r="D830" t="s">
        <v>28</v>
      </c>
      <c r="E830" t="s">
        <v>19</v>
      </c>
      <c r="F830" t="s">
        <v>39</v>
      </c>
      <c r="G830" t="s">
        <v>26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3</v>
      </c>
      <c r="N830">
        <v>0</v>
      </c>
      <c r="P830">
        <v>77.5</v>
      </c>
    </row>
    <row r="831" spans="1:16">
      <c r="A831" t="s">
        <v>859</v>
      </c>
      <c r="B831" s="2">
        <v>45662</v>
      </c>
      <c r="C831" t="s">
        <v>723</v>
      </c>
      <c r="D831" t="s">
        <v>23</v>
      </c>
      <c r="E831" t="s">
        <v>24</v>
      </c>
      <c r="F831" t="s">
        <v>20</v>
      </c>
      <c r="G831" t="s">
        <v>21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61</v>
      </c>
    </row>
    <row r="832" spans="1:16">
      <c r="A832" t="s">
        <v>860</v>
      </c>
      <c r="B832" s="2">
        <v>45712</v>
      </c>
      <c r="C832" t="s">
        <v>723</v>
      </c>
      <c r="D832" t="s">
        <v>32</v>
      </c>
      <c r="E832" t="s">
        <v>19</v>
      </c>
      <c r="F832" t="s">
        <v>25</v>
      </c>
      <c r="G832" t="s">
        <v>26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64.900000000000006</v>
      </c>
    </row>
    <row r="833" spans="1:16">
      <c r="A833" t="s">
        <v>861</v>
      </c>
      <c r="B833" s="2">
        <v>45678</v>
      </c>
      <c r="C833" t="s">
        <v>723</v>
      </c>
      <c r="D833" t="s">
        <v>28</v>
      </c>
      <c r="E833" t="s">
        <v>24</v>
      </c>
      <c r="F833" t="s">
        <v>29</v>
      </c>
      <c r="G833" t="s">
        <v>21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P833">
        <v>87.5</v>
      </c>
    </row>
    <row r="834" spans="1:16">
      <c r="A834" t="s">
        <v>862</v>
      </c>
      <c r="B834" s="2">
        <v>45771</v>
      </c>
      <c r="C834" t="s">
        <v>723</v>
      </c>
      <c r="D834" t="s">
        <v>18</v>
      </c>
      <c r="E834" t="s">
        <v>24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1171.99</v>
      </c>
      <c r="M834">
        <v>0</v>
      </c>
      <c r="N834">
        <v>0</v>
      </c>
      <c r="O834">
        <v>5</v>
      </c>
      <c r="P834">
        <v>80.599999999999994</v>
      </c>
    </row>
    <row r="835" spans="1:16">
      <c r="A835" t="s">
        <v>863</v>
      </c>
      <c r="B835" s="2">
        <v>45664</v>
      </c>
      <c r="C835" t="s">
        <v>723</v>
      </c>
      <c r="D835" t="s">
        <v>23</v>
      </c>
      <c r="E835" t="s">
        <v>19</v>
      </c>
      <c r="F835" t="s">
        <v>25</v>
      </c>
      <c r="G835" t="s">
        <v>26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P835">
        <v>66.900000000000006</v>
      </c>
    </row>
    <row r="836" spans="1:16">
      <c r="A836" t="s">
        <v>864</v>
      </c>
      <c r="B836" s="2">
        <v>45808</v>
      </c>
      <c r="C836" t="s">
        <v>723</v>
      </c>
      <c r="D836" t="s">
        <v>32</v>
      </c>
      <c r="E836" t="s">
        <v>34</v>
      </c>
      <c r="F836" t="s">
        <v>25</v>
      </c>
      <c r="G836" t="s">
        <v>21</v>
      </c>
      <c r="H836">
        <v>1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P836">
        <v>58.8</v>
      </c>
    </row>
    <row r="837" spans="1:16">
      <c r="A837" t="s">
        <v>865</v>
      </c>
      <c r="B837" s="2">
        <v>45749</v>
      </c>
      <c r="C837" t="s">
        <v>723</v>
      </c>
      <c r="D837" t="s">
        <v>18</v>
      </c>
      <c r="E837" t="s">
        <v>19</v>
      </c>
      <c r="F837" t="s">
        <v>25</v>
      </c>
      <c r="G837" t="s">
        <v>21</v>
      </c>
      <c r="H837">
        <v>1</v>
      </c>
      <c r="I837">
        <v>1</v>
      </c>
      <c r="J837">
        <v>1</v>
      </c>
      <c r="K837">
        <v>1</v>
      </c>
      <c r="L837">
        <v>1010.4</v>
      </c>
      <c r="M837">
        <v>0</v>
      </c>
      <c r="N837">
        <v>0</v>
      </c>
      <c r="O837">
        <v>4</v>
      </c>
      <c r="P837">
        <v>42.9</v>
      </c>
    </row>
    <row r="838" spans="1:16">
      <c r="A838" t="s">
        <v>866</v>
      </c>
      <c r="B838" s="2">
        <v>45768</v>
      </c>
      <c r="C838" t="s">
        <v>723</v>
      </c>
      <c r="D838" t="s">
        <v>28</v>
      </c>
      <c r="E838" t="s">
        <v>24</v>
      </c>
      <c r="F838" t="s">
        <v>25</v>
      </c>
      <c r="G838" t="s">
        <v>26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0</v>
      </c>
      <c r="P838">
        <v>60.2</v>
      </c>
    </row>
    <row r="839" spans="1:16">
      <c r="A839" t="s">
        <v>867</v>
      </c>
      <c r="B839" s="2">
        <v>45782</v>
      </c>
      <c r="C839" t="s">
        <v>723</v>
      </c>
      <c r="D839" t="s">
        <v>28</v>
      </c>
      <c r="E839" t="s">
        <v>24</v>
      </c>
      <c r="F839" t="s">
        <v>29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P839">
        <v>42.7</v>
      </c>
    </row>
    <row r="840" spans="1:16">
      <c r="A840" t="s">
        <v>868</v>
      </c>
      <c r="B840" s="2">
        <v>45663</v>
      </c>
      <c r="C840" t="s">
        <v>723</v>
      </c>
      <c r="D840" t="s">
        <v>18</v>
      </c>
      <c r="E840" t="s">
        <v>19</v>
      </c>
      <c r="F840" t="s">
        <v>41</v>
      </c>
      <c r="G840" t="s">
        <v>26</v>
      </c>
      <c r="H840">
        <v>1</v>
      </c>
      <c r="I840">
        <v>1</v>
      </c>
      <c r="J840">
        <v>1</v>
      </c>
      <c r="K840">
        <v>1</v>
      </c>
      <c r="L840">
        <v>431.27</v>
      </c>
      <c r="M840">
        <v>0</v>
      </c>
      <c r="N840">
        <v>0</v>
      </c>
      <c r="O840">
        <v>7</v>
      </c>
      <c r="P840">
        <v>60.8</v>
      </c>
    </row>
    <row r="841" spans="1:16">
      <c r="A841" t="s">
        <v>869</v>
      </c>
      <c r="B841" s="2">
        <v>45771</v>
      </c>
      <c r="C841" t="s">
        <v>723</v>
      </c>
      <c r="D841" t="s">
        <v>32</v>
      </c>
      <c r="E841" t="s">
        <v>24</v>
      </c>
      <c r="F841" t="s">
        <v>39</v>
      </c>
      <c r="G841" t="s">
        <v>26</v>
      </c>
      <c r="H841">
        <v>1</v>
      </c>
      <c r="I841">
        <v>1</v>
      </c>
      <c r="J841">
        <v>1</v>
      </c>
      <c r="K841">
        <v>1</v>
      </c>
      <c r="L841">
        <v>428.8</v>
      </c>
      <c r="M841">
        <v>0</v>
      </c>
      <c r="N841">
        <v>0</v>
      </c>
      <c r="O841">
        <v>9</v>
      </c>
      <c r="P841">
        <v>79.3</v>
      </c>
    </row>
    <row r="842" spans="1:16">
      <c r="A842" t="s">
        <v>870</v>
      </c>
      <c r="B842" s="2">
        <v>45768</v>
      </c>
      <c r="C842" t="s">
        <v>723</v>
      </c>
      <c r="D842" t="s">
        <v>32</v>
      </c>
      <c r="E842" t="s">
        <v>24</v>
      </c>
      <c r="F842" t="s">
        <v>25</v>
      </c>
      <c r="G842" t="s">
        <v>21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P842">
        <v>88.6</v>
      </c>
    </row>
    <row r="843" spans="1:16">
      <c r="A843" t="s">
        <v>871</v>
      </c>
      <c r="B843" s="2">
        <v>45697</v>
      </c>
      <c r="C843" t="s">
        <v>723</v>
      </c>
      <c r="D843" t="s">
        <v>23</v>
      </c>
      <c r="E843" t="s">
        <v>24</v>
      </c>
      <c r="F843" t="s">
        <v>25</v>
      </c>
      <c r="G843" t="s">
        <v>21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63.1</v>
      </c>
    </row>
    <row r="844" spans="1:16">
      <c r="A844" t="s">
        <v>872</v>
      </c>
      <c r="B844" s="2">
        <v>45666</v>
      </c>
      <c r="C844" t="s">
        <v>723</v>
      </c>
      <c r="D844" t="s">
        <v>28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39.700000000000003</v>
      </c>
    </row>
    <row r="845" spans="1:16">
      <c r="A845" t="s">
        <v>873</v>
      </c>
      <c r="B845" s="2">
        <v>45704</v>
      </c>
      <c r="C845" t="s">
        <v>723</v>
      </c>
      <c r="D845" t="s">
        <v>18</v>
      </c>
      <c r="E845" t="s">
        <v>24</v>
      </c>
      <c r="F845" t="s">
        <v>29</v>
      </c>
      <c r="G845" t="s">
        <v>21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67.2</v>
      </c>
    </row>
    <row r="846" spans="1:16">
      <c r="A846" t="s">
        <v>874</v>
      </c>
      <c r="B846" s="2">
        <v>45709</v>
      </c>
      <c r="C846" t="s">
        <v>723</v>
      </c>
      <c r="D846" t="s">
        <v>32</v>
      </c>
      <c r="E846" t="s">
        <v>24</v>
      </c>
      <c r="F846" t="s">
        <v>25</v>
      </c>
      <c r="G846" t="s">
        <v>26</v>
      </c>
      <c r="H846">
        <v>1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P846">
        <v>62.3</v>
      </c>
    </row>
    <row r="847" spans="1:16">
      <c r="A847" t="s">
        <v>875</v>
      </c>
      <c r="B847" s="2">
        <v>45696</v>
      </c>
      <c r="C847" t="s">
        <v>723</v>
      </c>
      <c r="D847" t="s">
        <v>32</v>
      </c>
      <c r="E847" t="s">
        <v>24</v>
      </c>
      <c r="F847" t="s">
        <v>25</v>
      </c>
      <c r="G847" t="s">
        <v>30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6">
      <c r="A848" t="s">
        <v>876</v>
      </c>
      <c r="B848" s="2">
        <v>45679</v>
      </c>
      <c r="C848" t="s">
        <v>723</v>
      </c>
      <c r="D848" t="s">
        <v>32</v>
      </c>
      <c r="E848" t="s">
        <v>24</v>
      </c>
      <c r="F848" t="s">
        <v>29</v>
      </c>
      <c r="G848" t="s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60.7</v>
      </c>
    </row>
    <row r="849" spans="1:16">
      <c r="A849" t="s">
        <v>877</v>
      </c>
      <c r="B849" s="2">
        <v>45748</v>
      </c>
      <c r="C849" t="s">
        <v>723</v>
      </c>
      <c r="D849" t="s">
        <v>23</v>
      </c>
      <c r="E849" t="s">
        <v>24</v>
      </c>
      <c r="F849" t="s">
        <v>25</v>
      </c>
      <c r="G849" t="s">
        <v>21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61.5</v>
      </c>
    </row>
    <row r="850" spans="1:16">
      <c r="A850" t="s">
        <v>878</v>
      </c>
      <c r="B850" s="2">
        <v>45678</v>
      </c>
      <c r="C850" t="s">
        <v>723</v>
      </c>
      <c r="D850" t="s">
        <v>18</v>
      </c>
      <c r="E850" t="s">
        <v>24</v>
      </c>
      <c r="F850" t="s">
        <v>29</v>
      </c>
      <c r="G850" t="s">
        <v>21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75</v>
      </c>
    </row>
    <row r="851" spans="1:16">
      <c r="A851" t="s">
        <v>879</v>
      </c>
      <c r="B851" s="2">
        <v>45659</v>
      </c>
      <c r="C851" t="s">
        <v>723</v>
      </c>
      <c r="D851" t="s">
        <v>28</v>
      </c>
      <c r="E851" t="s">
        <v>19</v>
      </c>
      <c r="F851" t="s">
        <v>25</v>
      </c>
      <c r="G851" t="s">
        <v>26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51.9</v>
      </c>
    </row>
    <row r="852" spans="1:16">
      <c r="A852" t="s">
        <v>880</v>
      </c>
      <c r="B852" s="2">
        <v>45789</v>
      </c>
      <c r="C852" t="s">
        <v>723</v>
      </c>
      <c r="D852" t="s">
        <v>32</v>
      </c>
      <c r="E852" t="s">
        <v>19</v>
      </c>
      <c r="F852" t="s">
        <v>29</v>
      </c>
      <c r="G852" t="s">
        <v>26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34.5</v>
      </c>
    </row>
    <row r="853" spans="1:16">
      <c r="A853" t="s">
        <v>881</v>
      </c>
      <c r="B853" s="2">
        <v>45721</v>
      </c>
      <c r="C853" t="s">
        <v>723</v>
      </c>
      <c r="D853" t="s">
        <v>32</v>
      </c>
      <c r="E853" t="s">
        <v>24</v>
      </c>
      <c r="F853" t="s">
        <v>41</v>
      </c>
      <c r="G853" t="s">
        <v>21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54.5</v>
      </c>
    </row>
    <row r="854" spans="1:16">
      <c r="A854" t="s">
        <v>882</v>
      </c>
      <c r="B854" s="2">
        <v>45681</v>
      </c>
      <c r="C854" t="s">
        <v>723</v>
      </c>
      <c r="D854" t="s">
        <v>28</v>
      </c>
      <c r="E854" t="s">
        <v>24</v>
      </c>
      <c r="F854" t="s">
        <v>25</v>
      </c>
      <c r="G854" t="s">
        <v>26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P854">
        <v>46</v>
      </c>
    </row>
    <row r="855" spans="1:16">
      <c r="A855" t="s">
        <v>883</v>
      </c>
      <c r="B855" s="2">
        <v>45688</v>
      </c>
      <c r="C855" t="s">
        <v>723</v>
      </c>
      <c r="D855" t="s">
        <v>28</v>
      </c>
      <c r="E855" t="s">
        <v>19</v>
      </c>
      <c r="F855" t="s">
        <v>20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88.4</v>
      </c>
    </row>
    <row r="856" spans="1:16">
      <c r="A856" t="s">
        <v>884</v>
      </c>
      <c r="B856" s="2">
        <v>45681</v>
      </c>
      <c r="C856" t="s">
        <v>723</v>
      </c>
      <c r="D856" t="s">
        <v>18</v>
      </c>
      <c r="E856" t="s">
        <v>34</v>
      </c>
      <c r="F856" t="s">
        <v>25</v>
      </c>
      <c r="G856" t="s">
        <v>21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P856">
        <v>69.5</v>
      </c>
    </row>
    <row r="857" spans="1:16">
      <c r="A857" t="s">
        <v>885</v>
      </c>
      <c r="B857" s="2">
        <v>45702</v>
      </c>
      <c r="C857" t="s">
        <v>723</v>
      </c>
      <c r="D857" t="s">
        <v>18</v>
      </c>
      <c r="E857" t="s">
        <v>19</v>
      </c>
      <c r="F857" t="s">
        <v>39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74.2</v>
      </c>
    </row>
    <row r="858" spans="1:16">
      <c r="A858" t="s">
        <v>886</v>
      </c>
      <c r="B858" s="2">
        <v>45804</v>
      </c>
      <c r="C858" t="s">
        <v>723</v>
      </c>
      <c r="D858" t="s">
        <v>18</v>
      </c>
      <c r="E858" t="s">
        <v>24</v>
      </c>
      <c r="F858" t="s">
        <v>25</v>
      </c>
      <c r="G858" t="s">
        <v>26</v>
      </c>
      <c r="H858">
        <v>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P858">
        <v>72.099999999999994</v>
      </c>
    </row>
    <row r="859" spans="1:16">
      <c r="A859" t="s">
        <v>887</v>
      </c>
      <c r="B859" s="2">
        <v>45716</v>
      </c>
      <c r="C859" t="s">
        <v>723</v>
      </c>
      <c r="D859" t="s">
        <v>18</v>
      </c>
      <c r="E859" t="s">
        <v>24</v>
      </c>
      <c r="F859" t="s">
        <v>29</v>
      </c>
      <c r="G859" t="s">
        <v>26</v>
      </c>
      <c r="H859">
        <v>1</v>
      </c>
      <c r="I859">
        <v>1</v>
      </c>
      <c r="J859">
        <v>1</v>
      </c>
      <c r="K859">
        <v>1</v>
      </c>
      <c r="L859">
        <v>398.33</v>
      </c>
      <c r="M859">
        <v>0</v>
      </c>
      <c r="N859">
        <v>0</v>
      </c>
      <c r="O859">
        <v>5</v>
      </c>
      <c r="P859">
        <v>85.1</v>
      </c>
    </row>
    <row r="860" spans="1:16">
      <c r="A860" t="s">
        <v>888</v>
      </c>
      <c r="B860" s="2">
        <v>45804</v>
      </c>
      <c r="C860" t="s">
        <v>723</v>
      </c>
      <c r="D860" t="s">
        <v>18</v>
      </c>
      <c r="E860" t="s">
        <v>24</v>
      </c>
      <c r="F860" t="s">
        <v>25</v>
      </c>
      <c r="G860" t="s">
        <v>21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P860">
        <v>49.5</v>
      </c>
    </row>
    <row r="861" spans="1:16">
      <c r="A861" t="s">
        <v>889</v>
      </c>
      <c r="B861" s="2">
        <v>45794</v>
      </c>
      <c r="C861" t="s">
        <v>723</v>
      </c>
      <c r="D861" t="s">
        <v>32</v>
      </c>
      <c r="E861" t="s">
        <v>24</v>
      </c>
      <c r="F861" t="s">
        <v>29</v>
      </c>
      <c r="G861" t="s">
        <v>30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P861">
        <v>79</v>
      </c>
    </row>
    <row r="862" spans="1:16">
      <c r="A862" t="s">
        <v>890</v>
      </c>
      <c r="B862" s="2">
        <v>45667</v>
      </c>
      <c r="C862" t="s">
        <v>723</v>
      </c>
      <c r="D862" t="s">
        <v>23</v>
      </c>
      <c r="E862" t="s">
        <v>19</v>
      </c>
      <c r="F862" t="s">
        <v>41</v>
      </c>
      <c r="G862" t="s">
        <v>26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P862">
        <v>71.8</v>
      </c>
    </row>
    <row r="863" spans="1:16">
      <c r="A863" t="s">
        <v>891</v>
      </c>
      <c r="B863" s="2">
        <v>45769</v>
      </c>
      <c r="C863" t="s">
        <v>723</v>
      </c>
      <c r="D863" t="s">
        <v>18</v>
      </c>
      <c r="E863" t="s">
        <v>24</v>
      </c>
      <c r="F863" t="s">
        <v>20</v>
      </c>
      <c r="G863" t="s">
        <v>21</v>
      </c>
      <c r="H863">
        <v>1</v>
      </c>
      <c r="I863">
        <v>1</v>
      </c>
      <c r="J863">
        <v>1</v>
      </c>
      <c r="K863">
        <v>1</v>
      </c>
      <c r="L863">
        <v>1117.54</v>
      </c>
      <c r="M863">
        <v>0</v>
      </c>
      <c r="N863">
        <v>0</v>
      </c>
      <c r="O863">
        <v>6</v>
      </c>
      <c r="P863">
        <v>60.4</v>
      </c>
    </row>
    <row r="864" spans="1:16">
      <c r="A864" t="s">
        <v>892</v>
      </c>
      <c r="B864" s="2">
        <v>45718</v>
      </c>
      <c r="C864" t="s">
        <v>723</v>
      </c>
      <c r="D864" t="s">
        <v>32</v>
      </c>
      <c r="E864" t="s">
        <v>19</v>
      </c>
      <c r="F864" t="s">
        <v>25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2</v>
      </c>
      <c r="N864">
        <v>0</v>
      </c>
      <c r="P864">
        <v>38.299999999999997</v>
      </c>
    </row>
    <row r="865" spans="1:16">
      <c r="A865" t="s">
        <v>893</v>
      </c>
      <c r="B865" s="2">
        <v>45739</v>
      </c>
      <c r="C865" t="s">
        <v>723</v>
      </c>
      <c r="D865" t="s">
        <v>28</v>
      </c>
      <c r="E865" t="s">
        <v>24</v>
      </c>
      <c r="F865" t="s">
        <v>29</v>
      </c>
      <c r="G865" t="s">
        <v>26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P865">
        <v>79.599999999999994</v>
      </c>
    </row>
    <row r="866" spans="1:16">
      <c r="A866" t="s">
        <v>894</v>
      </c>
      <c r="B866" s="2">
        <v>45700</v>
      </c>
      <c r="C866" t="s">
        <v>723</v>
      </c>
      <c r="D866" t="s">
        <v>28</v>
      </c>
      <c r="E866" t="s">
        <v>24</v>
      </c>
      <c r="F866" t="s">
        <v>20</v>
      </c>
      <c r="G866" t="s">
        <v>26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P866">
        <v>71.900000000000006</v>
      </c>
    </row>
    <row r="867" spans="1:16">
      <c r="A867" t="s">
        <v>895</v>
      </c>
      <c r="B867" s="2">
        <v>45780</v>
      </c>
      <c r="C867" t="s">
        <v>723</v>
      </c>
      <c r="D867" t="s">
        <v>32</v>
      </c>
      <c r="E867" t="s">
        <v>24</v>
      </c>
      <c r="F867" t="s">
        <v>39</v>
      </c>
      <c r="G867" t="s">
        <v>21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>
        <v>54.6</v>
      </c>
    </row>
    <row r="868" spans="1:16">
      <c r="A868" t="s">
        <v>896</v>
      </c>
      <c r="B868" s="2">
        <v>45744</v>
      </c>
      <c r="C868" t="s">
        <v>723</v>
      </c>
      <c r="D868" t="s">
        <v>18</v>
      </c>
      <c r="E868" t="s">
        <v>19</v>
      </c>
      <c r="F868" t="s">
        <v>41</v>
      </c>
      <c r="G868" t="s">
        <v>26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3</v>
      </c>
      <c r="N868">
        <v>0</v>
      </c>
      <c r="P868">
        <v>49.3</v>
      </c>
    </row>
    <row r="869" spans="1:16">
      <c r="A869" t="s">
        <v>897</v>
      </c>
      <c r="B869" s="2">
        <v>45728</v>
      </c>
      <c r="C869" t="s">
        <v>723</v>
      </c>
      <c r="D869" t="s">
        <v>18</v>
      </c>
      <c r="E869" t="s">
        <v>24</v>
      </c>
      <c r="F869" t="s">
        <v>41</v>
      </c>
      <c r="G869" t="s">
        <v>21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P869">
        <v>66.900000000000006</v>
      </c>
    </row>
    <row r="870" spans="1:16">
      <c r="A870" t="s">
        <v>898</v>
      </c>
      <c r="B870" s="2">
        <v>45774</v>
      </c>
      <c r="C870" t="s">
        <v>723</v>
      </c>
      <c r="D870" t="s">
        <v>28</v>
      </c>
      <c r="E870" t="s">
        <v>24</v>
      </c>
      <c r="F870" t="s">
        <v>29</v>
      </c>
      <c r="G870" t="s">
        <v>26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P870">
        <v>77.8</v>
      </c>
    </row>
    <row r="871" spans="1:16">
      <c r="A871" t="s">
        <v>899</v>
      </c>
      <c r="B871" s="2">
        <v>45749</v>
      </c>
      <c r="C871" t="s">
        <v>723</v>
      </c>
      <c r="D871" t="s">
        <v>32</v>
      </c>
      <c r="E871" t="s">
        <v>24</v>
      </c>
      <c r="F871" t="s">
        <v>39</v>
      </c>
      <c r="G871" t="s">
        <v>21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63</v>
      </c>
    </row>
    <row r="872" spans="1:16">
      <c r="A872" t="s">
        <v>900</v>
      </c>
      <c r="B872" s="2">
        <v>45768</v>
      </c>
      <c r="C872" t="s">
        <v>723</v>
      </c>
      <c r="D872" t="s">
        <v>18</v>
      </c>
      <c r="E872" t="s">
        <v>24</v>
      </c>
      <c r="F872" t="s">
        <v>41</v>
      </c>
      <c r="G872" t="s">
        <v>26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79.8</v>
      </c>
    </row>
    <row r="873" spans="1:16">
      <c r="A873" t="s">
        <v>901</v>
      </c>
      <c r="B873" s="2">
        <v>45683</v>
      </c>
      <c r="C873" t="s">
        <v>723</v>
      </c>
      <c r="D873" t="s">
        <v>23</v>
      </c>
      <c r="E873" t="s">
        <v>19</v>
      </c>
      <c r="F873" t="s">
        <v>25</v>
      </c>
      <c r="G873" t="s">
        <v>21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P873">
        <v>69.900000000000006</v>
      </c>
    </row>
    <row r="874" spans="1:16">
      <c r="A874" t="s">
        <v>902</v>
      </c>
      <c r="B874" s="2">
        <v>45663</v>
      </c>
      <c r="C874" t="s">
        <v>723</v>
      </c>
      <c r="D874" t="s">
        <v>23</v>
      </c>
      <c r="E874" t="s">
        <v>24</v>
      </c>
      <c r="F874" t="s">
        <v>25</v>
      </c>
      <c r="G874" t="s">
        <v>26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P874">
        <v>66.400000000000006</v>
      </c>
    </row>
    <row r="875" spans="1:16">
      <c r="A875" t="s">
        <v>903</v>
      </c>
      <c r="B875" s="2">
        <v>45695</v>
      </c>
      <c r="C875" t="s">
        <v>723</v>
      </c>
      <c r="D875" t="s">
        <v>28</v>
      </c>
      <c r="E875" t="s">
        <v>24</v>
      </c>
      <c r="F875" t="s">
        <v>25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27.6</v>
      </c>
    </row>
    <row r="876" spans="1:16">
      <c r="A876" t="s">
        <v>904</v>
      </c>
      <c r="B876" s="2">
        <v>45784</v>
      </c>
      <c r="C876" t="s">
        <v>723</v>
      </c>
      <c r="D876" t="s">
        <v>23</v>
      </c>
      <c r="E876" t="s">
        <v>24</v>
      </c>
      <c r="F876" t="s">
        <v>25</v>
      </c>
      <c r="G876" t="s">
        <v>30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P876">
        <v>56.5</v>
      </c>
    </row>
    <row r="877" spans="1:16">
      <c r="A877" t="s">
        <v>905</v>
      </c>
      <c r="B877" s="2">
        <v>45769</v>
      </c>
      <c r="C877" t="s">
        <v>723</v>
      </c>
      <c r="D877" t="s">
        <v>23</v>
      </c>
      <c r="F877" t="s">
        <v>41</v>
      </c>
      <c r="G877" t="s">
        <v>26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67.8</v>
      </c>
    </row>
    <row r="878" spans="1:16">
      <c r="A878" t="s">
        <v>906</v>
      </c>
      <c r="B878" s="2">
        <v>45781</v>
      </c>
      <c r="C878" t="s">
        <v>723</v>
      </c>
      <c r="D878" t="s">
        <v>23</v>
      </c>
      <c r="E878" t="s">
        <v>19</v>
      </c>
      <c r="F878" t="s">
        <v>41</v>
      </c>
      <c r="G878" t="s">
        <v>26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80</v>
      </c>
    </row>
    <row r="879" spans="1:16">
      <c r="A879" t="s">
        <v>907</v>
      </c>
      <c r="B879" s="2">
        <v>45793</v>
      </c>
      <c r="C879" t="s">
        <v>723</v>
      </c>
      <c r="D879" t="s">
        <v>32</v>
      </c>
      <c r="E879" t="s">
        <v>24</v>
      </c>
      <c r="F879" t="s">
        <v>41</v>
      </c>
      <c r="G879" t="s">
        <v>21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1</v>
      </c>
      <c r="N879">
        <v>0</v>
      </c>
      <c r="P879">
        <v>80.900000000000006</v>
      </c>
    </row>
    <row r="880" spans="1:16">
      <c r="A880" t="s">
        <v>908</v>
      </c>
      <c r="B880" s="2">
        <v>45699</v>
      </c>
      <c r="C880" t="s">
        <v>723</v>
      </c>
      <c r="D880" t="s">
        <v>23</v>
      </c>
      <c r="E880" t="s">
        <v>24</v>
      </c>
      <c r="F880" t="s">
        <v>29</v>
      </c>
      <c r="G880" t="s">
        <v>26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34.5</v>
      </c>
    </row>
    <row r="881" spans="1:16">
      <c r="A881" t="s">
        <v>909</v>
      </c>
      <c r="B881" s="2">
        <v>45786</v>
      </c>
      <c r="C881" t="s">
        <v>723</v>
      </c>
      <c r="D881" t="s">
        <v>28</v>
      </c>
      <c r="E881" t="s">
        <v>19</v>
      </c>
      <c r="F881" t="s">
        <v>25</v>
      </c>
      <c r="G881" t="s">
        <v>30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73.5</v>
      </c>
    </row>
    <row r="882" spans="1:16">
      <c r="A882" t="s">
        <v>910</v>
      </c>
      <c r="B882" s="2">
        <v>45697</v>
      </c>
      <c r="C882" t="s">
        <v>723</v>
      </c>
      <c r="D882" t="s">
        <v>32</v>
      </c>
      <c r="E882" t="s">
        <v>19</v>
      </c>
      <c r="F882" t="s">
        <v>29</v>
      </c>
      <c r="G882" t="s">
        <v>26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P882">
        <v>70</v>
      </c>
    </row>
    <row r="883" spans="1:16">
      <c r="A883" t="s">
        <v>911</v>
      </c>
      <c r="B883" s="2">
        <v>45799</v>
      </c>
      <c r="C883" t="s">
        <v>723</v>
      </c>
      <c r="D883" t="s">
        <v>23</v>
      </c>
      <c r="E883" t="s">
        <v>24</v>
      </c>
      <c r="F883" t="s">
        <v>41</v>
      </c>
      <c r="G883" t="s">
        <v>21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86.9</v>
      </c>
    </row>
    <row r="884" spans="1:16">
      <c r="A884" t="s">
        <v>912</v>
      </c>
      <c r="B884" s="2">
        <v>45801</v>
      </c>
      <c r="C884" t="s">
        <v>723</v>
      </c>
      <c r="D884" t="s">
        <v>28</v>
      </c>
      <c r="E884" t="s">
        <v>24</v>
      </c>
      <c r="F884" t="s">
        <v>41</v>
      </c>
      <c r="G884" t="s">
        <v>21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66.900000000000006</v>
      </c>
    </row>
    <row r="885" spans="1:16">
      <c r="A885" t="s">
        <v>913</v>
      </c>
      <c r="B885" s="2">
        <v>45774</v>
      </c>
      <c r="C885" t="s">
        <v>723</v>
      </c>
      <c r="D885" t="s">
        <v>32</v>
      </c>
      <c r="E885" t="s">
        <v>19</v>
      </c>
      <c r="F885" t="s">
        <v>41</v>
      </c>
      <c r="G885" t="s">
        <v>21</v>
      </c>
      <c r="H885">
        <v>1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P885">
        <v>58.3</v>
      </c>
    </row>
    <row r="886" spans="1:16">
      <c r="A886" t="s">
        <v>914</v>
      </c>
      <c r="B886" s="2">
        <v>45735</v>
      </c>
      <c r="C886" t="s">
        <v>723</v>
      </c>
      <c r="D886" t="s">
        <v>28</v>
      </c>
      <c r="E886" t="s">
        <v>24</v>
      </c>
      <c r="F886" t="s">
        <v>29</v>
      </c>
      <c r="G886" t="s">
        <v>26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P886">
        <v>45</v>
      </c>
    </row>
    <row r="887" spans="1:16">
      <c r="A887" t="s">
        <v>915</v>
      </c>
      <c r="B887" s="2">
        <v>45797</v>
      </c>
      <c r="C887" t="s">
        <v>723</v>
      </c>
      <c r="D887" t="s">
        <v>32</v>
      </c>
      <c r="E887" t="s">
        <v>24</v>
      </c>
      <c r="F887" t="s">
        <v>25</v>
      </c>
      <c r="G887" t="s">
        <v>30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60.8</v>
      </c>
    </row>
    <row r="888" spans="1:16">
      <c r="A888" t="s">
        <v>916</v>
      </c>
      <c r="B888" s="2">
        <v>45787</v>
      </c>
      <c r="C888" t="s">
        <v>723</v>
      </c>
      <c r="D888" t="s">
        <v>18</v>
      </c>
      <c r="E888" t="s">
        <v>24</v>
      </c>
      <c r="F888" t="s">
        <v>20</v>
      </c>
      <c r="G888" t="s">
        <v>30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4</v>
      </c>
      <c r="N888">
        <v>0</v>
      </c>
      <c r="P888">
        <v>53.7</v>
      </c>
    </row>
    <row r="889" spans="1:16">
      <c r="A889" t="s">
        <v>917</v>
      </c>
      <c r="B889" s="2">
        <v>45745</v>
      </c>
      <c r="C889" t="s">
        <v>723</v>
      </c>
      <c r="D889" t="s">
        <v>28</v>
      </c>
      <c r="E889" t="s">
        <v>24</v>
      </c>
      <c r="F889" t="s">
        <v>41</v>
      </c>
      <c r="G889" t="s">
        <v>26</v>
      </c>
      <c r="H889">
        <v>1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P889">
        <v>48.8</v>
      </c>
    </row>
    <row r="890" spans="1:16">
      <c r="A890" t="s">
        <v>918</v>
      </c>
      <c r="B890" s="2">
        <v>45750</v>
      </c>
      <c r="C890" t="s">
        <v>723</v>
      </c>
      <c r="D890" t="s">
        <v>23</v>
      </c>
      <c r="E890" t="s">
        <v>19</v>
      </c>
      <c r="F890" t="s">
        <v>39</v>
      </c>
      <c r="G890" t="s">
        <v>21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P890">
        <v>52.9</v>
      </c>
    </row>
    <row r="891" spans="1:16">
      <c r="A891" t="s">
        <v>919</v>
      </c>
      <c r="B891" s="2">
        <v>45807</v>
      </c>
      <c r="C891" t="s">
        <v>723</v>
      </c>
      <c r="D891" t="s">
        <v>32</v>
      </c>
      <c r="E891" t="s">
        <v>24</v>
      </c>
      <c r="F891" t="s">
        <v>20</v>
      </c>
      <c r="G891" t="s">
        <v>26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42.4</v>
      </c>
    </row>
    <row r="892" spans="1:16">
      <c r="A892" t="s">
        <v>920</v>
      </c>
      <c r="B892" s="2">
        <v>45753</v>
      </c>
      <c r="C892" t="s">
        <v>723</v>
      </c>
      <c r="D892" t="s">
        <v>28</v>
      </c>
      <c r="E892" t="s">
        <v>19</v>
      </c>
      <c r="F892" t="s">
        <v>20</v>
      </c>
      <c r="G892" t="s">
        <v>26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58.7</v>
      </c>
    </row>
    <row r="893" spans="1:16">
      <c r="A893" t="s">
        <v>921</v>
      </c>
      <c r="B893" s="2">
        <v>45730</v>
      </c>
      <c r="C893" t="s">
        <v>723</v>
      </c>
      <c r="D893" t="s">
        <v>18</v>
      </c>
      <c r="E893" t="s">
        <v>24</v>
      </c>
      <c r="F893" t="s">
        <v>39</v>
      </c>
      <c r="G893" t="s">
        <v>26</v>
      </c>
      <c r="H893">
        <v>1</v>
      </c>
      <c r="I893">
        <v>1</v>
      </c>
      <c r="J893">
        <v>1</v>
      </c>
      <c r="K893">
        <v>1</v>
      </c>
      <c r="L893">
        <v>2064.5500000000002</v>
      </c>
      <c r="M893">
        <v>0</v>
      </c>
      <c r="N893">
        <v>0</v>
      </c>
      <c r="O893">
        <v>1</v>
      </c>
      <c r="P893">
        <v>67.8</v>
      </c>
    </row>
    <row r="894" spans="1:16">
      <c r="A894" t="s">
        <v>922</v>
      </c>
      <c r="B894" s="2">
        <v>45712</v>
      </c>
      <c r="C894" t="s">
        <v>723</v>
      </c>
      <c r="D894" t="s">
        <v>32</v>
      </c>
      <c r="E894" t="s">
        <v>19</v>
      </c>
      <c r="F894" t="s">
        <v>29</v>
      </c>
      <c r="G894" t="s">
        <v>21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62.6</v>
      </c>
    </row>
    <row r="895" spans="1:16">
      <c r="A895" t="s">
        <v>923</v>
      </c>
      <c r="B895" s="2">
        <v>45720</v>
      </c>
      <c r="C895" t="s">
        <v>723</v>
      </c>
      <c r="D895" t="s">
        <v>23</v>
      </c>
      <c r="E895" t="s">
        <v>24</v>
      </c>
      <c r="F895" t="s">
        <v>20</v>
      </c>
      <c r="G895" t="s">
        <v>21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P895">
        <v>82.4</v>
      </c>
    </row>
    <row r="896" spans="1:16">
      <c r="A896" t="s">
        <v>924</v>
      </c>
      <c r="B896" s="2">
        <v>45749</v>
      </c>
      <c r="C896" t="s">
        <v>723</v>
      </c>
      <c r="D896" t="s">
        <v>18</v>
      </c>
      <c r="E896" t="s">
        <v>24</v>
      </c>
      <c r="F896" t="s">
        <v>25</v>
      </c>
      <c r="G896" t="s">
        <v>26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P896">
        <v>50.4</v>
      </c>
    </row>
    <row r="897" spans="1:16">
      <c r="A897" t="s">
        <v>925</v>
      </c>
      <c r="B897" s="2">
        <v>45788</v>
      </c>
      <c r="C897" t="s">
        <v>723</v>
      </c>
      <c r="D897" t="s">
        <v>18</v>
      </c>
      <c r="E897" t="s">
        <v>24</v>
      </c>
      <c r="F897" t="s">
        <v>20</v>
      </c>
      <c r="G897" t="s">
        <v>30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68.400000000000006</v>
      </c>
    </row>
    <row r="898" spans="1:16">
      <c r="A898" t="s">
        <v>926</v>
      </c>
      <c r="B898" s="2">
        <v>45787</v>
      </c>
      <c r="C898" t="s">
        <v>723</v>
      </c>
      <c r="D898" t="s">
        <v>23</v>
      </c>
      <c r="E898" t="s">
        <v>34</v>
      </c>
      <c r="F898" t="s">
        <v>29</v>
      </c>
      <c r="G898" t="s">
        <v>21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P898">
        <v>58.8</v>
      </c>
    </row>
    <row r="899" spans="1:16">
      <c r="A899" t="s">
        <v>927</v>
      </c>
      <c r="B899" s="2">
        <v>45783</v>
      </c>
      <c r="C899" t="s">
        <v>723</v>
      </c>
      <c r="D899" t="s">
        <v>23</v>
      </c>
      <c r="E899" t="s">
        <v>24</v>
      </c>
      <c r="F899" t="s">
        <v>39</v>
      </c>
      <c r="G899" t="s">
        <v>26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2</v>
      </c>
      <c r="N899">
        <v>0</v>
      </c>
      <c r="P899">
        <v>28.3</v>
      </c>
    </row>
    <row r="900" spans="1:16">
      <c r="A900" t="s">
        <v>928</v>
      </c>
      <c r="B900" s="2">
        <v>45699</v>
      </c>
      <c r="C900" t="s">
        <v>723</v>
      </c>
      <c r="D900" t="s">
        <v>23</v>
      </c>
      <c r="E900" t="s">
        <v>19</v>
      </c>
      <c r="F900" t="s">
        <v>29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44.1</v>
      </c>
    </row>
    <row r="901" spans="1:16">
      <c r="A901" t="s">
        <v>929</v>
      </c>
      <c r="B901" s="2">
        <v>45786</v>
      </c>
      <c r="C901" t="s">
        <v>723</v>
      </c>
      <c r="D901" t="s">
        <v>32</v>
      </c>
      <c r="E901" t="s">
        <v>24</v>
      </c>
      <c r="F901" t="s">
        <v>29</v>
      </c>
      <c r="G901" t="s">
        <v>30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P901">
        <v>66.7</v>
      </c>
    </row>
    <row r="902" spans="1:16">
      <c r="A902" t="s">
        <v>930</v>
      </c>
      <c r="B902" s="2">
        <v>45690</v>
      </c>
      <c r="C902" t="s">
        <v>723</v>
      </c>
      <c r="D902" t="s">
        <v>32</v>
      </c>
      <c r="E902" t="s">
        <v>24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100</v>
      </c>
    </row>
    <row r="903" spans="1:16">
      <c r="A903" t="s">
        <v>931</v>
      </c>
      <c r="B903" s="2">
        <v>45750</v>
      </c>
      <c r="C903" t="s">
        <v>723</v>
      </c>
      <c r="D903" t="s">
        <v>32</v>
      </c>
      <c r="E903" t="s">
        <v>24</v>
      </c>
      <c r="F903" t="s">
        <v>41</v>
      </c>
      <c r="G903" t="s">
        <v>26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87.5</v>
      </c>
    </row>
    <row r="904" spans="1:16">
      <c r="A904" t="s">
        <v>932</v>
      </c>
      <c r="B904" s="2">
        <v>45703</v>
      </c>
      <c r="C904" t="s">
        <v>723</v>
      </c>
      <c r="D904" t="s">
        <v>18</v>
      </c>
      <c r="E904" t="s">
        <v>19</v>
      </c>
      <c r="F904" t="s">
        <v>25</v>
      </c>
      <c r="G904" t="s">
        <v>21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65.400000000000006</v>
      </c>
    </row>
    <row r="905" spans="1:16">
      <c r="A905" t="s">
        <v>933</v>
      </c>
      <c r="B905" s="2">
        <v>45765</v>
      </c>
      <c r="C905" t="s">
        <v>723</v>
      </c>
      <c r="D905" t="s">
        <v>32</v>
      </c>
      <c r="E905" t="s">
        <v>19</v>
      </c>
      <c r="F905" t="s">
        <v>25</v>
      </c>
      <c r="G905" t="s">
        <v>26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P905">
        <v>22.9</v>
      </c>
    </row>
    <row r="906" spans="1:16">
      <c r="A906" t="s">
        <v>934</v>
      </c>
      <c r="B906" s="2">
        <v>45730</v>
      </c>
      <c r="C906" t="s">
        <v>723</v>
      </c>
      <c r="D906" t="s">
        <v>23</v>
      </c>
      <c r="E906" t="s">
        <v>19</v>
      </c>
      <c r="F906" t="s">
        <v>25</v>
      </c>
      <c r="G906" t="s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P906">
        <v>64.599999999999994</v>
      </c>
    </row>
    <row r="907" spans="1:16">
      <c r="A907" t="s">
        <v>935</v>
      </c>
      <c r="B907" s="2">
        <v>45745</v>
      </c>
      <c r="C907" t="s">
        <v>723</v>
      </c>
      <c r="D907" t="s">
        <v>32</v>
      </c>
      <c r="E907" t="s">
        <v>24</v>
      </c>
      <c r="F907" t="s">
        <v>39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2</v>
      </c>
      <c r="N907">
        <v>0</v>
      </c>
      <c r="P907">
        <v>54.4</v>
      </c>
    </row>
    <row r="908" spans="1:16">
      <c r="A908" t="s">
        <v>936</v>
      </c>
      <c r="B908" s="2">
        <v>45701</v>
      </c>
      <c r="C908" t="s">
        <v>723</v>
      </c>
      <c r="D908" t="s">
        <v>18</v>
      </c>
      <c r="E908" t="s">
        <v>19</v>
      </c>
      <c r="F908" t="s">
        <v>25</v>
      </c>
      <c r="G908" t="s">
        <v>26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P908">
        <v>56.8</v>
      </c>
    </row>
    <row r="909" spans="1:16">
      <c r="A909" t="s">
        <v>937</v>
      </c>
      <c r="B909" s="2">
        <v>45680</v>
      </c>
      <c r="C909" t="s">
        <v>723</v>
      </c>
      <c r="D909" t="s">
        <v>32</v>
      </c>
      <c r="E909" t="s">
        <v>24</v>
      </c>
      <c r="F909" t="s">
        <v>29</v>
      </c>
      <c r="G909" t="s">
        <v>26</v>
      </c>
      <c r="H909">
        <v>1</v>
      </c>
      <c r="I909">
        <v>1</v>
      </c>
      <c r="J909">
        <v>1</v>
      </c>
      <c r="K909">
        <v>1</v>
      </c>
      <c r="L909">
        <v>341.38</v>
      </c>
      <c r="M909">
        <v>0</v>
      </c>
      <c r="N909">
        <v>0</v>
      </c>
      <c r="O909">
        <v>2</v>
      </c>
      <c r="P909">
        <v>63.6</v>
      </c>
    </row>
    <row r="910" spans="1:16">
      <c r="A910" t="s">
        <v>938</v>
      </c>
      <c r="B910" s="2">
        <v>45712</v>
      </c>
      <c r="C910" t="s">
        <v>723</v>
      </c>
      <c r="D910" t="s">
        <v>28</v>
      </c>
      <c r="E910" t="s">
        <v>24</v>
      </c>
      <c r="F910" t="s">
        <v>41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P910">
        <v>58.2</v>
      </c>
    </row>
    <row r="911" spans="1:16">
      <c r="A911" t="s">
        <v>939</v>
      </c>
      <c r="B911" s="2">
        <v>45716</v>
      </c>
      <c r="C911" t="s">
        <v>723</v>
      </c>
      <c r="D911" t="s">
        <v>23</v>
      </c>
      <c r="E911" t="s">
        <v>24</v>
      </c>
      <c r="F911" t="s">
        <v>29</v>
      </c>
      <c r="G911" t="s">
        <v>26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54.6</v>
      </c>
    </row>
    <row r="912" spans="1:16">
      <c r="A912" t="s">
        <v>940</v>
      </c>
      <c r="B912" s="2">
        <v>45664</v>
      </c>
      <c r="C912" t="s">
        <v>723</v>
      </c>
      <c r="D912" t="s">
        <v>23</v>
      </c>
      <c r="E912" t="s">
        <v>34</v>
      </c>
      <c r="F912" t="s">
        <v>25</v>
      </c>
      <c r="G912" t="s">
        <v>21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81.900000000000006</v>
      </c>
    </row>
    <row r="913" spans="1:16">
      <c r="A913" t="s">
        <v>941</v>
      </c>
      <c r="B913" s="2">
        <v>45737</v>
      </c>
      <c r="C913" t="s">
        <v>723</v>
      </c>
      <c r="D913" t="s">
        <v>23</v>
      </c>
      <c r="E913" t="s">
        <v>19</v>
      </c>
      <c r="F913" t="s">
        <v>20</v>
      </c>
      <c r="G913" t="s">
        <v>26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3</v>
      </c>
      <c r="N913">
        <v>0</v>
      </c>
      <c r="P913">
        <v>53.3</v>
      </c>
    </row>
    <row r="914" spans="1:16">
      <c r="A914" t="s">
        <v>942</v>
      </c>
      <c r="B914" s="2">
        <v>45706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54.2</v>
      </c>
    </row>
    <row r="915" spans="1:16">
      <c r="A915" t="s">
        <v>943</v>
      </c>
      <c r="B915" s="2">
        <v>45662</v>
      </c>
      <c r="C915" t="s">
        <v>723</v>
      </c>
      <c r="D915" t="s">
        <v>18</v>
      </c>
      <c r="E915" t="s">
        <v>24</v>
      </c>
      <c r="F915" t="s">
        <v>29</v>
      </c>
      <c r="G915" t="s">
        <v>26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P915">
        <v>65.599999999999994</v>
      </c>
    </row>
    <row r="916" spans="1:16">
      <c r="A916" t="s">
        <v>944</v>
      </c>
      <c r="B916" s="2">
        <v>45727</v>
      </c>
      <c r="C916" t="s">
        <v>723</v>
      </c>
      <c r="D916" t="s">
        <v>28</v>
      </c>
      <c r="E916" t="s">
        <v>19</v>
      </c>
      <c r="F916" t="s">
        <v>25</v>
      </c>
      <c r="G916" t="s">
        <v>21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P916">
        <v>56.5</v>
      </c>
    </row>
    <row r="917" spans="1:16">
      <c r="A917" t="s">
        <v>945</v>
      </c>
      <c r="B917" s="2">
        <v>45666</v>
      </c>
      <c r="C917" t="s">
        <v>723</v>
      </c>
      <c r="D917" t="s">
        <v>18</v>
      </c>
      <c r="E917" t="s">
        <v>19</v>
      </c>
      <c r="F917" t="s">
        <v>25</v>
      </c>
      <c r="G917" t="s">
        <v>21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59.7</v>
      </c>
    </row>
    <row r="918" spans="1:16">
      <c r="A918" t="s">
        <v>946</v>
      </c>
      <c r="B918" s="2">
        <v>45665</v>
      </c>
      <c r="C918" t="s">
        <v>723</v>
      </c>
      <c r="D918" t="s">
        <v>32</v>
      </c>
      <c r="E918" t="s">
        <v>24</v>
      </c>
      <c r="F918" t="s">
        <v>25</v>
      </c>
      <c r="G918" t="s">
        <v>26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72.5</v>
      </c>
    </row>
    <row r="919" spans="1:16">
      <c r="A919" t="s">
        <v>947</v>
      </c>
      <c r="B919" s="2">
        <v>45778</v>
      </c>
      <c r="C919" t="s">
        <v>723</v>
      </c>
      <c r="D919" t="s">
        <v>28</v>
      </c>
      <c r="E919" t="s">
        <v>19</v>
      </c>
      <c r="F919" t="s">
        <v>29</v>
      </c>
      <c r="G919" t="s">
        <v>26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64.3</v>
      </c>
    </row>
    <row r="920" spans="1:16">
      <c r="A920" t="s">
        <v>948</v>
      </c>
      <c r="B920" s="2">
        <v>45719</v>
      </c>
      <c r="C920" t="s">
        <v>723</v>
      </c>
      <c r="D920" t="s">
        <v>32</v>
      </c>
      <c r="E920" t="s">
        <v>24</v>
      </c>
      <c r="F920" t="s">
        <v>41</v>
      </c>
      <c r="G920" t="s">
        <v>26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64.5</v>
      </c>
    </row>
    <row r="921" spans="1:16">
      <c r="A921" t="s">
        <v>949</v>
      </c>
      <c r="B921" s="2">
        <v>45711</v>
      </c>
      <c r="C921" t="s">
        <v>723</v>
      </c>
      <c r="D921" t="s">
        <v>23</v>
      </c>
      <c r="E921" t="s">
        <v>19</v>
      </c>
      <c r="F921" t="s">
        <v>41</v>
      </c>
      <c r="G921" t="s">
        <v>21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P921">
        <v>70.599999999999994</v>
      </c>
    </row>
    <row r="922" spans="1:16">
      <c r="A922" t="s">
        <v>950</v>
      </c>
      <c r="B922" s="2">
        <v>45705</v>
      </c>
      <c r="C922" t="s">
        <v>723</v>
      </c>
      <c r="D922" t="s">
        <v>32</v>
      </c>
      <c r="E922" t="s">
        <v>19</v>
      </c>
      <c r="F922" t="s">
        <v>25</v>
      </c>
      <c r="G922" t="s">
        <v>21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58.4</v>
      </c>
    </row>
    <row r="923" spans="1:16">
      <c r="A923" t="s">
        <v>951</v>
      </c>
      <c r="B923" s="2">
        <v>45798</v>
      </c>
      <c r="C923" t="s">
        <v>723</v>
      </c>
      <c r="D923" t="s">
        <v>28</v>
      </c>
      <c r="E923" t="s">
        <v>24</v>
      </c>
      <c r="F923" t="s">
        <v>25</v>
      </c>
      <c r="G923" t="s">
        <v>21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56.6</v>
      </c>
    </row>
    <row r="924" spans="1:16">
      <c r="A924" t="s">
        <v>952</v>
      </c>
      <c r="B924" s="2">
        <v>45687</v>
      </c>
      <c r="C924" t="s">
        <v>723</v>
      </c>
      <c r="D924" t="s">
        <v>32</v>
      </c>
      <c r="E924" t="s">
        <v>24</v>
      </c>
      <c r="F924" t="s">
        <v>25</v>
      </c>
      <c r="G924" t="s">
        <v>26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P924">
        <v>61.8</v>
      </c>
    </row>
    <row r="925" spans="1:16">
      <c r="A925" t="s">
        <v>953</v>
      </c>
      <c r="B925" s="2">
        <v>45736</v>
      </c>
      <c r="C925" t="s">
        <v>723</v>
      </c>
      <c r="D925" t="s">
        <v>23</v>
      </c>
      <c r="E925" t="s">
        <v>24</v>
      </c>
      <c r="F925" t="s">
        <v>20</v>
      </c>
      <c r="G925" t="s">
        <v>26</v>
      </c>
      <c r="H925">
        <v>1</v>
      </c>
      <c r="I925">
        <v>1</v>
      </c>
      <c r="J925">
        <v>1</v>
      </c>
      <c r="K925">
        <v>1</v>
      </c>
      <c r="L925">
        <v>513.52</v>
      </c>
      <c r="M925">
        <v>0</v>
      </c>
      <c r="N925">
        <v>0</v>
      </c>
      <c r="O925">
        <v>8</v>
      </c>
      <c r="P925">
        <v>43.4</v>
      </c>
    </row>
    <row r="926" spans="1:16">
      <c r="A926" t="s">
        <v>954</v>
      </c>
      <c r="B926" s="2">
        <v>45757</v>
      </c>
      <c r="C926" t="s">
        <v>723</v>
      </c>
      <c r="D926" t="s">
        <v>23</v>
      </c>
      <c r="E926" t="s">
        <v>34</v>
      </c>
      <c r="F926" t="s">
        <v>29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43</v>
      </c>
    </row>
    <row r="927" spans="1:16">
      <c r="A927" t="s">
        <v>955</v>
      </c>
      <c r="B927" s="2">
        <v>45723</v>
      </c>
      <c r="C927" t="s">
        <v>723</v>
      </c>
      <c r="D927" t="s">
        <v>18</v>
      </c>
      <c r="E927" t="s">
        <v>19</v>
      </c>
      <c r="F927" t="s">
        <v>25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51.1</v>
      </c>
    </row>
    <row r="928" spans="1:16">
      <c r="A928" t="s">
        <v>956</v>
      </c>
      <c r="B928" s="2">
        <v>45728</v>
      </c>
      <c r="C928" t="s">
        <v>723</v>
      </c>
      <c r="D928" t="s">
        <v>23</v>
      </c>
      <c r="E928" t="s">
        <v>24</v>
      </c>
      <c r="F928" t="s">
        <v>20</v>
      </c>
      <c r="G928" t="s">
        <v>21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48.8</v>
      </c>
    </row>
    <row r="929" spans="1:16">
      <c r="A929" t="s">
        <v>957</v>
      </c>
      <c r="B929" s="2">
        <v>45712</v>
      </c>
      <c r="C929" t="s">
        <v>723</v>
      </c>
      <c r="D929" t="s">
        <v>28</v>
      </c>
      <c r="E929" t="s">
        <v>24</v>
      </c>
      <c r="F929" t="s">
        <v>39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73.2</v>
      </c>
    </row>
    <row r="930" spans="1:16">
      <c r="A930" t="s">
        <v>958</v>
      </c>
      <c r="B930" s="2">
        <v>45672</v>
      </c>
      <c r="C930" t="s">
        <v>723</v>
      </c>
      <c r="D930" t="s">
        <v>28</v>
      </c>
      <c r="E930" t="s">
        <v>24</v>
      </c>
      <c r="F930" t="s">
        <v>39</v>
      </c>
      <c r="G930" t="s">
        <v>26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P930">
        <v>80</v>
      </c>
    </row>
    <row r="931" spans="1:16">
      <c r="A931" t="s">
        <v>959</v>
      </c>
      <c r="B931" s="2">
        <v>45664</v>
      </c>
      <c r="C931" t="s">
        <v>723</v>
      </c>
      <c r="D931" t="s">
        <v>18</v>
      </c>
      <c r="E931" t="s">
        <v>19</v>
      </c>
      <c r="F931" t="s">
        <v>29</v>
      </c>
      <c r="G931" t="s">
        <v>26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52.3</v>
      </c>
    </row>
    <row r="932" spans="1:16">
      <c r="A932" t="s">
        <v>960</v>
      </c>
      <c r="B932" s="2">
        <v>45718</v>
      </c>
      <c r="C932" t="s">
        <v>723</v>
      </c>
      <c r="D932" t="s">
        <v>18</v>
      </c>
      <c r="E932" t="s">
        <v>19</v>
      </c>
      <c r="F932" t="s">
        <v>25</v>
      </c>
      <c r="G932" t="s">
        <v>26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P932">
        <v>49.1</v>
      </c>
    </row>
    <row r="933" spans="1:16">
      <c r="A933" t="s">
        <v>961</v>
      </c>
      <c r="B933" s="2">
        <v>45662</v>
      </c>
      <c r="C933" t="s">
        <v>723</v>
      </c>
      <c r="D933" t="s">
        <v>32</v>
      </c>
      <c r="E933" t="s">
        <v>19</v>
      </c>
      <c r="F933" t="s">
        <v>39</v>
      </c>
      <c r="G933" t="s">
        <v>21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45.3</v>
      </c>
    </row>
    <row r="934" spans="1:16">
      <c r="A934" t="s">
        <v>962</v>
      </c>
      <c r="B934" s="2">
        <v>45719</v>
      </c>
      <c r="C934" t="s">
        <v>723</v>
      </c>
      <c r="D934" t="s">
        <v>32</v>
      </c>
      <c r="E934" t="s">
        <v>24</v>
      </c>
      <c r="F934" t="s">
        <v>25</v>
      </c>
      <c r="G934" t="s">
        <v>26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49.1</v>
      </c>
    </row>
    <row r="935" spans="1:16">
      <c r="A935" t="s">
        <v>963</v>
      </c>
      <c r="B935" s="2">
        <v>45747</v>
      </c>
      <c r="C935" t="s">
        <v>723</v>
      </c>
      <c r="D935" t="s">
        <v>28</v>
      </c>
      <c r="E935" t="s">
        <v>19</v>
      </c>
      <c r="F935" t="s">
        <v>39</v>
      </c>
      <c r="G935" t="s">
        <v>26</v>
      </c>
      <c r="H935">
        <v>1</v>
      </c>
      <c r="I935">
        <v>1</v>
      </c>
      <c r="J935">
        <v>1</v>
      </c>
      <c r="K935">
        <v>1</v>
      </c>
      <c r="L935">
        <v>476.44</v>
      </c>
      <c r="M935">
        <v>0</v>
      </c>
      <c r="N935">
        <v>0</v>
      </c>
      <c r="O935">
        <v>3</v>
      </c>
      <c r="P935">
        <v>88.6</v>
      </c>
    </row>
    <row r="936" spans="1:16">
      <c r="A936" t="s">
        <v>964</v>
      </c>
      <c r="B936" s="2">
        <v>45671</v>
      </c>
      <c r="C936" t="s">
        <v>723</v>
      </c>
      <c r="D936" t="s">
        <v>28</v>
      </c>
      <c r="E936" t="s">
        <v>19</v>
      </c>
      <c r="F936" t="s">
        <v>29</v>
      </c>
      <c r="G936" t="s">
        <v>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P936">
        <v>54.4</v>
      </c>
    </row>
    <row r="937" spans="1:16">
      <c r="A937" t="s">
        <v>965</v>
      </c>
      <c r="B937" s="2">
        <v>45672</v>
      </c>
      <c r="C937" t="s">
        <v>723</v>
      </c>
      <c r="D937" t="s">
        <v>23</v>
      </c>
      <c r="E937" t="s">
        <v>19</v>
      </c>
      <c r="F937" t="s">
        <v>29</v>
      </c>
      <c r="G937" t="s">
        <v>30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P937">
        <v>72.900000000000006</v>
      </c>
    </row>
    <row r="938" spans="1:16">
      <c r="A938" t="s">
        <v>966</v>
      </c>
      <c r="B938" s="2">
        <v>45772</v>
      </c>
      <c r="C938" t="s">
        <v>723</v>
      </c>
      <c r="D938" t="s">
        <v>23</v>
      </c>
      <c r="E938" t="s">
        <v>19</v>
      </c>
      <c r="F938" t="s">
        <v>25</v>
      </c>
      <c r="G938" t="s">
        <v>26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53.2</v>
      </c>
    </row>
    <row r="939" spans="1:16">
      <c r="A939" t="s">
        <v>967</v>
      </c>
      <c r="B939" s="2">
        <v>45737</v>
      </c>
      <c r="C939" t="s">
        <v>723</v>
      </c>
      <c r="D939" t="s">
        <v>28</v>
      </c>
      <c r="E939" t="s">
        <v>24</v>
      </c>
      <c r="F939" t="s">
        <v>25</v>
      </c>
      <c r="G939" t="s">
        <v>21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48.7</v>
      </c>
    </row>
    <row r="940" spans="1:16">
      <c r="A940" t="s">
        <v>968</v>
      </c>
      <c r="B940" s="2">
        <v>45773</v>
      </c>
      <c r="C940" t="s">
        <v>723</v>
      </c>
      <c r="D940" t="s">
        <v>32</v>
      </c>
      <c r="E940" t="s">
        <v>24</v>
      </c>
      <c r="F940" t="s">
        <v>29</v>
      </c>
      <c r="G940" t="s">
        <v>21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P940">
        <v>59.9</v>
      </c>
    </row>
    <row r="941" spans="1:16">
      <c r="A941" t="s">
        <v>969</v>
      </c>
      <c r="B941" s="2">
        <v>45798</v>
      </c>
      <c r="C941" t="s">
        <v>723</v>
      </c>
      <c r="D941" t="s">
        <v>32</v>
      </c>
      <c r="E941" t="s">
        <v>19</v>
      </c>
      <c r="G941" t="s">
        <v>21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82</v>
      </c>
    </row>
    <row r="942" spans="1:16">
      <c r="A942" t="s">
        <v>970</v>
      </c>
      <c r="B942" s="2">
        <v>45765</v>
      </c>
      <c r="C942" t="s">
        <v>723</v>
      </c>
      <c r="D942" t="s">
        <v>28</v>
      </c>
      <c r="E942" t="s">
        <v>24</v>
      </c>
      <c r="F942" t="s">
        <v>29</v>
      </c>
      <c r="G942" t="s">
        <v>26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72.099999999999994</v>
      </c>
    </row>
    <row r="943" spans="1:16">
      <c r="A943" t="s">
        <v>971</v>
      </c>
      <c r="B943" s="2">
        <v>45686</v>
      </c>
      <c r="C943" t="s">
        <v>723</v>
      </c>
      <c r="D943" t="s">
        <v>18</v>
      </c>
      <c r="E943" t="s">
        <v>19</v>
      </c>
      <c r="F943" t="s">
        <v>20</v>
      </c>
      <c r="G943" t="s">
        <v>30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68.3</v>
      </c>
    </row>
    <row r="944" spans="1:16">
      <c r="A944" t="s">
        <v>972</v>
      </c>
      <c r="B944" s="2">
        <v>45805</v>
      </c>
      <c r="C944" t="s">
        <v>723</v>
      </c>
      <c r="D944" t="s">
        <v>23</v>
      </c>
      <c r="E944" t="s">
        <v>24</v>
      </c>
      <c r="F944" t="s">
        <v>25</v>
      </c>
      <c r="G944" t="s">
        <v>30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P944">
        <v>100</v>
      </c>
    </row>
    <row r="945" spans="1:16">
      <c r="A945" t="s">
        <v>973</v>
      </c>
      <c r="B945" s="2">
        <v>45672</v>
      </c>
      <c r="C945" t="s">
        <v>723</v>
      </c>
      <c r="D945" t="s">
        <v>28</v>
      </c>
      <c r="E945" t="s">
        <v>24</v>
      </c>
      <c r="F945" t="s">
        <v>20</v>
      </c>
      <c r="G945" t="s">
        <v>26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2</v>
      </c>
      <c r="N945">
        <v>0</v>
      </c>
      <c r="P945">
        <v>76.5</v>
      </c>
    </row>
    <row r="946" spans="1:16">
      <c r="A946" t="s">
        <v>974</v>
      </c>
      <c r="B946" s="2">
        <v>45660</v>
      </c>
      <c r="C946" t="s">
        <v>723</v>
      </c>
      <c r="D946" t="s">
        <v>32</v>
      </c>
      <c r="E946" t="s">
        <v>24</v>
      </c>
      <c r="F946" t="s">
        <v>25</v>
      </c>
      <c r="G946" t="s">
        <v>21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62</v>
      </c>
    </row>
    <row r="947" spans="1:16">
      <c r="A947" t="s">
        <v>975</v>
      </c>
      <c r="B947" s="2">
        <v>45692</v>
      </c>
      <c r="C947" t="s">
        <v>723</v>
      </c>
      <c r="D947" t="s">
        <v>32</v>
      </c>
      <c r="E947" t="s">
        <v>24</v>
      </c>
      <c r="F947" t="s">
        <v>29</v>
      </c>
      <c r="G947" t="s">
        <v>26</v>
      </c>
      <c r="H947">
        <v>1</v>
      </c>
      <c r="I947">
        <v>1</v>
      </c>
      <c r="J947">
        <v>1</v>
      </c>
      <c r="K947">
        <v>1</v>
      </c>
      <c r="L947">
        <v>324.68</v>
      </c>
      <c r="M947">
        <v>1</v>
      </c>
      <c r="N947">
        <v>0</v>
      </c>
      <c r="O947">
        <v>7</v>
      </c>
      <c r="P947">
        <v>50.1</v>
      </c>
    </row>
    <row r="948" spans="1:16">
      <c r="A948" t="s">
        <v>976</v>
      </c>
      <c r="B948" s="2">
        <v>45710</v>
      </c>
      <c r="C948" t="s">
        <v>723</v>
      </c>
      <c r="D948" t="s">
        <v>32</v>
      </c>
      <c r="E948" t="s">
        <v>24</v>
      </c>
      <c r="F948" t="s">
        <v>39</v>
      </c>
      <c r="G948" t="s">
        <v>30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62.1</v>
      </c>
    </row>
    <row r="949" spans="1:16">
      <c r="A949" t="s">
        <v>977</v>
      </c>
      <c r="B949" s="2">
        <v>45783</v>
      </c>
      <c r="C949" t="s">
        <v>723</v>
      </c>
      <c r="D949" t="s">
        <v>23</v>
      </c>
      <c r="E949" t="s">
        <v>24</v>
      </c>
      <c r="F949" t="s">
        <v>25</v>
      </c>
      <c r="G949" t="s">
        <v>21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49.7</v>
      </c>
    </row>
    <row r="950" spans="1:16">
      <c r="A950" t="s">
        <v>978</v>
      </c>
      <c r="B950" s="2">
        <v>45688</v>
      </c>
      <c r="C950" t="s">
        <v>723</v>
      </c>
      <c r="D950" t="s">
        <v>32</v>
      </c>
      <c r="E950" t="s">
        <v>24</v>
      </c>
      <c r="F950" t="s">
        <v>25</v>
      </c>
      <c r="G950" t="s">
        <v>26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3</v>
      </c>
      <c r="N950">
        <v>0</v>
      </c>
      <c r="P950">
        <v>71.099999999999994</v>
      </c>
    </row>
    <row r="951" spans="1:16">
      <c r="A951" t="s">
        <v>979</v>
      </c>
      <c r="B951" s="2">
        <v>45706</v>
      </c>
      <c r="C951" t="s">
        <v>723</v>
      </c>
      <c r="D951" t="s">
        <v>18</v>
      </c>
      <c r="E951" t="s">
        <v>24</v>
      </c>
      <c r="F951" t="s">
        <v>41</v>
      </c>
      <c r="G951" t="s">
        <v>21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70.8</v>
      </c>
    </row>
    <row r="952" spans="1:16">
      <c r="A952" t="s">
        <v>980</v>
      </c>
      <c r="B952" s="2">
        <v>45770</v>
      </c>
      <c r="C952" t="s">
        <v>723</v>
      </c>
      <c r="D952" t="s">
        <v>28</v>
      </c>
      <c r="E952" t="s">
        <v>24</v>
      </c>
      <c r="F952" t="s">
        <v>29</v>
      </c>
      <c r="G952" t="s">
        <v>26</v>
      </c>
      <c r="H952">
        <v>1</v>
      </c>
      <c r="I952">
        <v>1</v>
      </c>
      <c r="J952">
        <v>1</v>
      </c>
      <c r="K952">
        <v>1</v>
      </c>
      <c r="L952">
        <v>301.98</v>
      </c>
      <c r="M952">
        <v>0</v>
      </c>
      <c r="N952">
        <v>0</v>
      </c>
      <c r="O952">
        <v>10</v>
      </c>
      <c r="P952">
        <v>52.2</v>
      </c>
    </row>
    <row r="953" spans="1:16">
      <c r="A953" t="s">
        <v>981</v>
      </c>
      <c r="B953" s="2">
        <v>45694</v>
      </c>
      <c r="C953" t="s">
        <v>723</v>
      </c>
      <c r="D953" t="s">
        <v>18</v>
      </c>
      <c r="E953" t="s">
        <v>24</v>
      </c>
      <c r="F953" t="s">
        <v>25</v>
      </c>
      <c r="G953" t="s">
        <v>26</v>
      </c>
      <c r="H953">
        <v>1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P953">
        <v>73</v>
      </c>
    </row>
    <row r="954" spans="1:16">
      <c r="A954" t="s">
        <v>982</v>
      </c>
      <c r="B954" s="2">
        <v>45773</v>
      </c>
      <c r="C954" t="s">
        <v>723</v>
      </c>
      <c r="D954" t="s">
        <v>32</v>
      </c>
      <c r="E954" t="s">
        <v>19</v>
      </c>
      <c r="F954" t="s">
        <v>29</v>
      </c>
      <c r="G954" t="s">
        <v>26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P954">
        <v>78.2</v>
      </c>
    </row>
    <row r="955" spans="1:16">
      <c r="A955" t="s">
        <v>983</v>
      </c>
      <c r="B955" s="2">
        <v>45746</v>
      </c>
      <c r="C955" t="s">
        <v>723</v>
      </c>
      <c r="D955" t="s">
        <v>23</v>
      </c>
      <c r="E955" t="s">
        <v>19</v>
      </c>
      <c r="F955" t="s">
        <v>29</v>
      </c>
      <c r="G955" t="s">
        <v>21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P955">
        <v>68.8</v>
      </c>
    </row>
    <row r="956" spans="1:16">
      <c r="A956" t="s">
        <v>984</v>
      </c>
      <c r="B956" s="2">
        <v>45760</v>
      </c>
      <c r="C956" t="s">
        <v>723</v>
      </c>
      <c r="D956" t="s">
        <v>23</v>
      </c>
      <c r="E956" t="s">
        <v>24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57.1</v>
      </c>
    </row>
    <row r="957" spans="1:16">
      <c r="A957" t="s">
        <v>985</v>
      </c>
      <c r="B957" s="2">
        <v>45751</v>
      </c>
      <c r="C957" t="s">
        <v>723</v>
      </c>
      <c r="D957" t="s">
        <v>28</v>
      </c>
      <c r="E957" t="s">
        <v>19</v>
      </c>
      <c r="F957" t="s">
        <v>25</v>
      </c>
      <c r="G957" t="s">
        <v>30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P957">
        <v>74.599999999999994</v>
      </c>
    </row>
    <row r="958" spans="1:16">
      <c r="A958" t="s">
        <v>986</v>
      </c>
      <c r="B958" s="2">
        <v>45750</v>
      </c>
      <c r="C958" t="s">
        <v>723</v>
      </c>
      <c r="D958" t="s">
        <v>18</v>
      </c>
      <c r="E958" t="s">
        <v>19</v>
      </c>
      <c r="F958" t="s">
        <v>39</v>
      </c>
      <c r="G958" t="s">
        <v>26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P958">
        <v>64.099999999999994</v>
      </c>
    </row>
    <row r="959" spans="1:16">
      <c r="A959" t="s">
        <v>987</v>
      </c>
      <c r="B959" s="2">
        <v>45730</v>
      </c>
      <c r="C959" t="s">
        <v>723</v>
      </c>
      <c r="D959" t="s">
        <v>23</v>
      </c>
      <c r="E959" t="s">
        <v>24</v>
      </c>
      <c r="F959" t="s">
        <v>29</v>
      </c>
      <c r="G959" t="s">
        <v>30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P959">
        <v>67.3</v>
      </c>
    </row>
    <row r="960" spans="1:16">
      <c r="A960" t="s">
        <v>988</v>
      </c>
      <c r="B960" s="2">
        <v>45671</v>
      </c>
      <c r="C960" t="s">
        <v>723</v>
      </c>
      <c r="D960" t="s">
        <v>23</v>
      </c>
      <c r="E960" t="s">
        <v>24</v>
      </c>
      <c r="F960" t="s">
        <v>39</v>
      </c>
      <c r="G960" t="s">
        <v>26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P960">
        <v>41</v>
      </c>
    </row>
    <row r="961" spans="1:16">
      <c r="A961" t="s">
        <v>989</v>
      </c>
      <c r="B961" s="2">
        <v>45782</v>
      </c>
      <c r="C961" t="s">
        <v>723</v>
      </c>
      <c r="D961" t="s">
        <v>23</v>
      </c>
      <c r="E961" t="s">
        <v>24</v>
      </c>
      <c r="F961" t="s">
        <v>29</v>
      </c>
      <c r="G961" t="s">
        <v>26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>
        <v>48.1</v>
      </c>
    </row>
    <row r="962" spans="1:16">
      <c r="A962" t="s">
        <v>990</v>
      </c>
      <c r="B962" s="2">
        <v>45779</v>
      </c>
      <c r="C962" t="s">
        <v>723</v>
      </c>
      <c r="D962" t="s">
        <v>23</v>
      </c>
      <c r="E962" t="s">
        <v>19</v>
      </c>
      <c r="F962" t="s">
        <v>41</v>
      </c>
      <c r="G962" t="s">
        <v>26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P962">
        <v>60.8</v>
      </c>
    </row>
    <row r="963" spans="1:16">
      <c r="A963" t="s">
        <v>991</v>
      </c>
      <c r="B963" s="2">
        <v>45798</v>
      </c>
      <c r="C963" t="s">
        <v>723</v>
      </c>
      <c r="D963" t="s">
        <v>28</v>
      </c>
      <c r="E963" t="s">
        <v>24</v>
      </c>
      <c r="F963" t="s">
        <v>25</v>
      </c>
      <c r="G963" t="s">
        <v>26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63.1</v>
      </c>
    </row>
    <row r="964" spans="1:16">
      <c r="A964" t="s">
        <v>992</v>
      </c>
      <c r="B964" s="2">
        <v>45793</v>
      </c>
      <c r="C964" t="s">
        <v>723</v>
      </c>
      <c r="D964" t="s">
        <v>18</v>
      </c>
      <c r="E964" t="s">
        <v>24</v>
      </c>
      <c r="F964" t="s">
        <v>39</v>
      </c>
      <c r="G964" t="s">
        <v>30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0</v>
      </c>
      <c r="P964">
        <v>49.7</v>
      </c>
    </row>
    <row r="965" spans="1:16">
      <c r="A965" t="s">
        <v>993</v>
      </c>
      <c r="B965" s="2">
        <v>45801</v>
      </c>
      <c r="C965" t="s">
        <v>723</v>
      </c>
      <c r="D965" t="s">
        <v>28</v>
      </c>
      <c r="E965" t="s">
        <v>19</v>
      </c>
      <c r="F965" t="s">
        <v>25</v>
      </c>
      <c r="G965" t="s">
        <v>30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1</v>
      </c>
      <c r="N965">
        <v>0</v>
      </c>
      <c r="P965">
        <v>83.4</v>
      </c>
    </row>
    <row r="966" spans="1:16">
      <c r="A966" t="s">
        <v>994</v>
      </c>
      <c r="B966" s="2">
        <v>45734</v>
      </c>
      <c r="C966" t="s">
        <v>723</v>
      </c>
      <c r="D966" t="s">
        <v>28</v>
      </c>
      <c r="E966" t="s">
        <v>24</v>
      </c>
      <c r="F966" t="s">
        <v>25</v>
      </c>
      <c r="G966" t="s">
        <v>21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75.900000000000006</v>
      </c>
    </row>
    <row r="967" spans="1:16">
      <c r="A967" t="s">
        <v>995</v>
      </c>
      <c r="B967" s="2">
        <v>45668</v>
      </c>
      <c r="C967" t="s">
        <v>723</v>
      </c>
      <c r="D967" t="s">
        <v>28</v>
      </c>
      <c r="E967" t="s">
        <v>19</v>
      </c>
      <c r="F967" t="s">
        <v>29</v>
      </c>
      <c r="G967" t="s">
        <v>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P967">
        <v>71.8</v>
      </c>
    </row>
    <row r="968" spans="1:16">
      <c r="A968" t="s">
        <v>996</v>
      </c>
      <c r="B968" s="2">
        <v>45697</v>
      </c>
      <c r="C968" t="s">
        <v>723</v>
      </c>
      <c r="D968" t="s">
        <v>32</v>
      </c>
      <c r="E968" t="s">
        <v>24</v>
      </c>
      <c r="F968" t="s">
        <v>25</v>
      </c>
      <c r="G968" t="s">
        <v>21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37.9</v>
      </c>
    </row>
    <row r="969" spans="1:16">
      <c r="A969" t="s">
        <v>997</v>
      </c>
      <c r="B969" s="2">
        <v>45717</v>
      </c>
      <c r="C969" t="s">
        <v>723</v>
      </c>
      <c r="D969" t="s">
        <v>18</v>
      </c>
      <c r="E969" t="s">
        <v>19</v>
      </c>
      <c r="F969" t="s">
        <v>41</v>
      </c>
      <c r="G969" t="s">
        <v>26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59.8</v>
      </c>
    </row>
    <row r="970" spans="1:16">
      <c r="A970" t="s">
        <v>998</v>
      </c>
      <c r="B970" s="2">
        <v>45784</v>
      </c>
      <c r="C970" t="s">
        <v>723</v>
      </c>
      <c r="D970" t="s">
        <v>18</v>
      </c>
      <c r="E970" t="s">
        <v>24</v>
      </c>
      <c r="F970" t="s">
        <v>25</v>
      </c>
      <c r="G970" t="s">
        <v>21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66.900000000000006</v>
      </c>
    </row>
    <row r="971" spans="1:16">
      <c r="A971" t="s">
        <v>999</v>
      </c>
      <c r="B971" s="2">
        <v>45707</v>
      </c>
      <c r="C971" t="s">
        <v>723</v>
      </c>
      <c r="D971" t="s">
        <v>32</v>
      </c>
      <c r="E971" t="s">
        <v>19</v>
      </c>
      <c r="G971" t="s">
        <v>26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P971">
        <v>59</v>
      </c>
    </row>
    <row r="972" spans="1:16">
      <c r="A972" t="s">
        <v>1000</v>
      </c>
      <c r="B972" s="2">
        <v>45714</v>
      </c>
      <c r="C972" t="s">
        <v>723</v>
      </c>
      <c r="D972" t="s">
        <v>23</v>
      </c>
      <c r="E972" t="s">
        <v>24</v>
      </c>
      <c r="F972" t="s">
        <v>25</v>
      </c>
      <c r="G972" t="s">
        <v>30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80.099999999999994</v>
      </c>
    </row>
    <row r="973" spans="1:16">
      <c r="A973" t="s">
        <v>1001</v>
      </c>
      <c r="B973" s="2">
        <v>45739</v>
      </c>
      <c r="C973" t="s">
        <v>723</v>
      </c>
      <c r="D973" t="s">
        <v>32</v>
      </c>
      <c r="E973" t="s">
        <v>24</v>
      </c>
      <c r="F973" t="s">
        <v>41</v>
      </c>
      <c r="G973" t="s">
        <v>26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64.3</v>
      </c>
    </row>
    <row r="974" spans="1:16">
      <c r="A974" t="s">
        <v>1002</v>
      </c>
      <c r="B974" s="2">
        <v>45772</v>
      </c>
      <c r="C974" t="s">
        <v>723</v>
      </c>
      <c r="D974" t="s">
        <v>32</v>
      </c>
      <c r="E974" t="s">
        <v>19</v>
      </c>
      <c r="F974" t="s">
        <v>41</v>
      </c>
      <c r="G974" t="s">
        <v>26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P974">
        <v>57.4</v>
      </c>
    </row>
    <row r="975" spans="1:16">
      <c r="A975" t="s">
        <v>1003</v>
      </c>
      <c r="B975" s="2">
        <v>45787</v>
      </c>
      <c r="C975" t="s">
        <v>723</v>
      </c>
      <c r="D975" t="s">
        <v>18</v>
      </c>
      <c r="E975" t="s">
        <v>19</v>
      </c>
      <c r="F975" t="s">
        <v>41</v>
      </c>
      <c r="G975" t="s">
        <v>26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83.6</v>
      </c>
    </row>
    <row r="976" spans="1:16">
      <c r="A976" t="s">
        <v>1004</v>
      </c>
      <c r="B976" s="2">
        <v>45769</v>
      </c>
      <c r="C976" t="s">
        <v>723</v>
      </c>
      <c r="D976" t="s">
        <v>28</v>
      </c>
      <c r="E976" t="s">
        <v>24</v>
      </c>
      <c r="F976" t="s">
        <v>29</v>
      </c>
      <c r="G976" t="s">
        <v>30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45.8</v>
      </c>
    </row>
    <row r="977" spans="1:16">
      <c r="A977" t="s">
        <v>1005</v>
      </c>
      <c r="B977" s="2">
        <v>45706</v>
      </c>
      <c r="C977" t="s">
        <v>723</v>
      </c>
      <c r="D977" t="s">
        <v>23</v>
      </c>
      <c r="E977" t="s">
        <v>24</v>
      </c>
      <c r="F977" t="s">
        <v>39</v>
      </c>
      <c r="G977" t="s">
        <v>21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P977">
        <v>64.3</v>
      </c>
    </row>
    <row r="978" spans="1:16">
      <c r="A978" t="s">
        <v>1006</v>
      </c>
      <c r="B978" s="2">
        <v>45683</v>
      </c>
      <c r="C978" t="s">
        <v>723</v>
      </c>
      <c r="D978" t="s">
        <v>32</v>
      </c>
      <c r="E978" t="s">
        <v>24</v>
      </c>
      <c r="F978" t="s">
        <v>29</v>
      </c>
      <c r="G978" t="s">
        <v>30</v>
      </c>
      <c r="H978">
        <v>1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P978">
        <v>80.5</v>
      </c>
    </row>
    <row r="979" spans="1:16">
      <c r="A979" t="s">
        <v>1007</v>
      </c>
      <c r="B979" s="2">
        <v>45775</v>
      </c>
      <c r="C979" t="s">
        <v>723</v>
      </c>
      <c r="D979" t="s">
        <v>18</v>
      </c>
      <c r="E979" t="s">
        <v>24</v>
      </c>
      <c r="F979" t="s">
        <v>25</v>
      </c>
      <c r="G979" t="s">
        <v>26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46.3</v>
      </c>
    </row>
    <row r="980" spans="1:16">
      <c r="A980" t="s">
        <v>1008</v>
      </c>
      <c r="B980" s="2">
        <v>45749</v>
      </c>
      <c r="C980" t="s">
        <v>723</v>
      </c>
      <c r="D980" t="s">
        <v>32</v>
      </c>
      <c r="E980" t="s">
        <v>19</v>
      </c>
      <c r="F980" t="s">
        <v>20</v>
      </c>
      <c r="G980" t="s">
        <v>21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71.599999999999994</v>
      </c>
    </row>
    <row r="981" spans="1:16">
      <c r="A981" t="s">
        <v>1009</v>
      </c>
      <c r="B981" s="2">
        <v>45759</v>
      </c>
      <c r="C981" t="s">
        <v>723</v>
      </c>
      <c r="D981" t="s">
        <v>32</v>
      </c>
      <c r="E981" t="s">
        <v>19</v>
      </c>
      <c r="F981" t="s">
        <v>20</v>
      </c>
      <c r="G981" t="s">
        <v>30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P981">
        <v>57.8</v>
      </c>
    </row>
    <row r="982" spans="1:16">
      <c r="A982" t="s">
        <v>1010</v>
      </c>
      <c r="B982" s="2">
        <v>45660</v>
      </c>
      <c r="C982" t="s">
        <v>723</v>
      </c>
      <c r="D982" t="s">
        <v>23</v>
      </c>
      <c r="E982" t="s">
        <v>19</v>
      </c>
      <c r="F982" t="s">
        <v>20</v>
      </c>
      <c r="G982" t="s">
        <v>21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P982">
        <v>57.8</v>
      </c>
    </row>
    <row r="983" spans="1:16">
      <c r="A983" t="s">
        <v>1011</v>
      </c>
      <c r="B983" s="2">
        <v>45785</v>
      </c>
      <c r="C983" t="s">
        <v>723</v>
      </c>
      <c r="D983" t="s">
        <v>18</v>
      </c>
      <c r="E983" t="s">
        <v>24</v>
      </c>
      <c r="F983" t="s">
        <v>29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P983">
        <v>38.299999999999997</v>
      </c>
    </row>
    <row r="984" spans="1:16">
      <c r="A984" t="s">
        <v>1012</v>
      </c>
      <c r="B984" s="2">
        <v>45708</v>
      </c>
      <c r="C984" t="s">
        <v>723</v>
      </c>
      <c r="D984" t="s">
        <v>18</v>
      </c>
      <c r="E984" t="s">
        <v>24</v>
      </c>
      <c r="F984" t="s">
        <v>39</v>
      </c>
      <c r="G984" t="s">
        <v>30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0</v>
      </c>
      <c r="P984">
        <v>66.099999999999994</v>
      </c>
    </row>
    <row r="985" spans="1:16">
      <c r="A985" t="s">
        <v>1013</v>
      </c>
      <c r="B985" s="2">
        <v>45733</v>
      </c>
      <c r="C985" t="s">
        <v>723</v>
      </c>
      <c r="D985" t="s">
        <v>18</v>
      </c>
      <c r="E985" t="s">
        <v>19</v>
      </c>
      <c r="F985" t="s">
        <v>29</v>
      </c>
      <c r="G985" t="s">
        <v>30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66.5</v>
      </c>
    </row>
    <row r="986" spans="1:16">
      <c r="A986" t="s">
        <v>1014</v>
      </c>
      <c r="B986" s="2">
        <v>45757</v>
      </c>
      <c r="C986" t="s">
        <v>723</v>
      </c>
      <c r="D986" t="s">
        <v>32</v>
      </c>
      <c r="E986" t="s">
        <v>19</v>
      </c>
      <c r="F986" t="s">
        <v>20</v>
      </c>
      <c r="G986" t="s">
        <v>26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3</v>
      </c>
      <c r="N986">
        <v>0</v>
      </c>
      <c r="P986">
        <v>51.5</v>
      </c>
    </row>
    <row r="987" spans="1:16">
      <c r="A987" t="s">
        <v>1015</v>
      </c>
      <c r="B987" s="2">
        <v>45785</v>
      </c>
      <c r="C987" t="s">
        <v>723</v>
      </c>
      <c r="D987" t="s">
        <v>18</v>
      </c>
      <c r="E987" t="s">
        <v>19</v>
      </c>
      <c r="F987" t="s">
        <v>39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59.9</v>
      </c>
    </row>
    <row r="988" spans="1:16">
      <c r="A988" t="s">
        <v>1016</v>
      </c>
      <c r="B988" s="2">
        <v>45766</v>
      </c>
      <c r="C988" t="s">
        <v>723</v>
      </c>
      <c r="D988" t="s">
        <v>23</v>
      </c>
      <c r="E988" t="s">
        <v>24</v>
      </c>
      <c r="F988" t="s">
        <v>29</v>
      </c>
      <c r="G988" t="s">
        <v>21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P988">
        <v>58.8</v>
      </c>
    </row>
    <row r="989" spans="1:16">
      <c r="A989" t="s">
        <v>1017</v>
      </c>
      <c r="B989" s="2">
        <v>45658</v>
      </c>
      <c r="C989" t="s">
        <v>723</v>
      </c>
      <c r="D989" t="s">
        <v>32</v>
      </c>
      <c r="E989" t="s">
        <v>34</v>
      </c>
      <c r="F989" t="s">
        <v>29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69.599999999999994</v>
      </c>
    </row>
    <row r="990" spans="1:16">
      <c r="A990" t="s">
        <v>1018</v>
      </c>
      <c r="B990" s="2">
        <v>45726</v>
      </c>
      <c r="C990" t="s">
        <v>723</v>
      </c>
      <c r="D990" t="s">
        <v>28</v>
      </c>
      <c r="E990" t="s">
        <v>24</v>
      </c>
      <c r="F990" t="s">
        <v>29</v>
      </c>
      <c r="G990" t="s">
        <v>26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77.5</v>
      </c>
    </row>
    <row r="991" spans="1:16">
      <c r="A991" t="s">
        <v>1019</v>
      </c>
      <c r="B991" s="2">
        <v>45726</v>
      </c>
      <c r="C991" t="s">
        <v>723</v>
      </c>
      <c r="D991" t="s">
        <v>28</v>
      </c>
      <c r="E991" t="s">
        <v>34</v>
      </c>
      <c r="F991" t="s">
        <v>41</v>
      </c>
      <c r="G991" t="s">
        <v>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0</v>
      </c>
      <c r="P991">
        <v>57.5</v>
      </c>
    </row>
    <row r="992" spans="1:16">
      <c r="A992" t="s">
        <v>1020</v>
      </c>
      <c r="B992" s="2">
        <v>45766</v>
      </c>
      <c r="C992" t="s">
        <v>723</v>
      </c>
      <c r="D992" t="s">
        <v>23</v>
      </c>
      <c r="E992" t="s">
        <v>34</v>
      </c>
      <c r="F992" t="s">
        <v>20</v>
      </c>
      <c r="G992" t="s">
        <v>21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64.2</v>
      </c>
    </row>
    <row r="993" spans="1:16">
      <c r="A993" t="s">
        <v>1021</v>
      </c>
      <c r="B993" s="2">
        <v>45758</v>
      </c>
      <c r="C993" t="s">
        <v>723</v>
      </c>
      <c r="D993" t="s">
        <v>23</v>
      </c>
      <c r="E993" t="s">
        <v>19</v>
      </c>
      <c r="F993" t="s">
        <v>25</v>
      </c>
      <c r="G993" t="s">
        <v>26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60</v>
      </c>
    </row>
    <row r="994" spans="1:16">
      <c r="A994" t="s">
        <v>1022</v>
      </c>
      <c r="B994" s="2">
        <v>45757</v>
      </c>
      <c r="C994" t="s">
        <v>723</v>
      </c>
      <c r="D994" t="s">
        <v>28</v>
      </c>
      <c r="E994" t="s">
        <v>24</v>
      </c>
      <c r="F994" t="s">
        <v>25</v>
      </c>
      <c r="G994" t="s">
        <v>21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P994">
        <v>43.7</v>
      </c>
    </row>
    <row r="995" spans="1:16">
      <c r="A995" t="s">
        <v>1023</v>
      </c>
      <c r="B995" s="2">
        <v>45670</v>
      </c>
      <c r="C995" t="s">
        <v>723</v>
      </c>
      <c r="D995" t="s">
        <v>23</v>
      </c>
      <c r="E995" t="s">
        <v>19</v>
      </c>
      <c r="F995" t="s">
        <v>41</v>
      </c>
      <c r="G995" t="s">
        <v>26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64.900000000000006</v>
      </c>
    </row>
    <row r="996" spans="1:16">
      <c r="A996" t="s">
        <v>1024</v>
      </c>
      <c r="B996" s="2">
        <v>45744</v>
      </c>
      <c r="C996" t="s">
        <v>723</v>
      </c>
      <c r="D996" t="s">
        <v>32</v>
      </c>
      <c r="E996" t="s">
        <v>19</v>
      </c>
      <c r="F996" t="s">
        <v>25</v>
      </c>
      <c r="G996" t="s">
        <v>26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45.5</v>
      </c>
    </row>
    <row r="997" spans="1:16">
      <c r="A997" t="s">
        <v>1025</v>
      </c>
      <c r="B997" s="2">
        <v>45686</v>
      </c>
      <c r="C997" t="s">
        <v>723</v>
      </c>
      <c r="D997" t="s">
        <v>28</v>
      </c>
      <c r="E997" t="s">
        <v>24</v>
      </c>
      <c r="F997" t="s">
        <v>29</v>
      </c>
      <c r="G997" t="s">
        <v>26</v>
      </c>
      <c r="H997">
        <v>1</v>
      </c>
      <c r="I997">
        <v>1</v>
      </c>
      <c r="J997">
        <v>1</v>
      </c>
      <c r="K997">
        <v>1</v>
      </c>
      <c r="L997">
        <v>1772.97</v>
      </c>
      <c r="M997">
        <v>0</v>
      </c>
      <c r="N997">
        <v>0</v>
      </c>
      <c r="O997">
        <v>8</v>
      </c>
      <c r="P997">
        <v>61.2</v>
      </c>
    </row>
    <row r="998" spans="1:16">
      <c r="A998" t="s">
        <v>1026</v>
      </c>
      <c r="B998" s="2">
        <v>45743</v>
      </c>
      <c r="C998" t="s">
        <v>723</v>
      </c>
      <c r="D998" t="s">
        <v>32</v>
      </c>
      <c r="E998" t="s">
        <v>24</v>
      </c>
      <c r="F998" t="s">
        <v>39</v>
      </c>
      <c r="G998" t="s">
        <v>26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87.8</v>
      </c>
    </row>
    <row r="999" spans="1:16">
      <c r="A999" t="s">
        <v>1027</v>
      </c>
      <c r="B999" s="2">
        <v>45736</v>
      </c>
      <c r="C999" t="s">
        <v>723</v>
      </c>
      <c r="D999" t="s">
        <v>28</v>
      </c>
      <c r="E999" t="s">
        <v>34</v>
      </c>
      <c r="F999" t="s">
        <v>41</v>
      </c>
      <c r="G999" t="s">
        <v>26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86.4</v>
      </c>
    </row>
    <row r="1000" spans="1:16">
      <c r="A1000" t="s">
        <v>1028</v>
      </c>
      <c r="B1000" s="2">
        <v>45666</v>
      </c>
      <c r="C1000" t="s">
        <v>723</v>
      </c>
      <c r="D1000" t="s">
        <v>18</v>
      </c>
      <c r="E1000" t="s">
        <v>24</v>
      </c>
      <c r="F1000" t="s">
        <v>29</v>
      </c>
      <c r="G1000" t="s">
        <v>21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P1000">
        <v>71.400000000000006</v>
      </c>
    </row>
    <row r="1001" spans="1:16">
      <c r="A1001" t="s">
        <v>1029</v>
      </c>
      <c r="B1001" s="2">
        <v>45772</v>
      </c>
      <c r="C1001" t="s">
        <v>723</v>
      </c>
      <c r="D1001" t="s">
        <v>23</v>
      </c>
      <c r="E1001" t="s">
        <v>24</v>
      </c>
      <c r="F1001" t="s">
        <v>41</v>
      </c>
      <c r="G1001" t="s">
        <v>26</v>
      </c>
      <c r="H1001">
        <v>1</v>
      </c>
      <c r="I1001">
        <v>1</v>
      </c>
      <c r="J1001">
        <v>1</v>
      </c>
      <c r="K1001">
        <v>1</v>
      </c>
      <c r="L1001">
        <v>218.66</v>
      </c>
      <c r="M1001">
        <v>0</v>
      </c>
      <c r="N1001">
        <v>1</v>
      </c>
      <c r="O1001">
        <v>8</v>
      </c>
      <c r="P1001">
        <v>72.2</v>
      </c>
    </row>
    <row r="1002" spans="1:16">
      <c r="A1002" t="s">
        <v>1030</v>
      </c>
      <c r="B1002" s="2">
        <v>45758</v>
      </c>
      <c r="C1002" t="s">
        <v>723</v>
      </c>
      <c r="D1002" t="s">
        <v>32</v>
      </c>
      <c r="E1002" t="s">
        <v>19</v>
      </c>
      <c r="F1002" t="s">
        <v>41</v>
      </c>
      <c r="G1002" t="s">
        <v>26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51.9</v>
      </c>
    </row>
    <row r="1003" spans="1:16">
      <c r="A1003" t="s">
        <v>1031</v>
      </c>
      <c r="B1003" s="2">
        <v>45693</v>
      </c>
      <c r="C1003" t="s">
        <v>723</v>
      </c>
      <c r="D1003" t="s">
        <v>28</v>
      </c>
      <c r="E1003" t="s">
        <v>24</v>
      </c>
      <c r="F1003" t="s">
        <v>41</v>
      </c>
      <c r="G1003" t="s">
        <v>21</v>
      </c>
      <c r="H1003">
        <v>1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P1003">
        <v>70.3</v>
      </c>
    </row>
    <row r="1004" spans="1:16">
      <c r="A1004" t="s">
        <v>1032</v>
      </c>
      <c r="B1004" s="2">
        <v>45744</v>
      </c>
      <c r="C1004" t="s">
        <v>723</v>
      </c>
      <c r="D1004" t="s">
        <v>32</v>
      </c>
      <c r="E1004" t="s">
        <v>24</v>
      </c>
      <c r="F1004" t="s">
        <v>41</v>
      </c>
      <c r="G1004" t="s">
        <v>30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P1004">
        <v>49.2</v>
      </c>
    </row>
    <row r="1005" spans="1:16">
      <c r="A1005" t="s">
        <v>1033</v>
      </c>
      <c r="B1005" s="2">
        <v>45791</v>
      </c>
      <c r="C1005" t="s">
        <v>723</v>
      </c>
      <c r="D1005" t="s">
        <v>32</v>
      </c>
      <c r="E1005" t="s">
        <v>24</v>
      </c>
      <c r="F1005" t="s">
        <v>39</v>
      </c>
      <c r="G1005" t="s">
        <v>26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P1005">
        <v>52.2</v>
      </c>
    </row>
    <row r="1006" spans="1:16">
      <c r="A1006" t="s">
        <v>1034</v>
      </c>
      <c r="B1006" s="2">
        <v>45726</v>
      </c>
      <c r="C1006" t="s">
        <v>723</v>
      </c>
      <c r="D1006" t="s">
        <v>28</v>
      </c>
      <c r="E1006" t="s">
        <v>24</v>
      </c>
      <c r="F1006" t="s">
        <v>29</v>
      </c>
      <c r="G1006" t="s">
        <v>21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P1006">
        <v>62.6</v>
      </c>
    </row>
    <row r="1007" spans="1:16">
      <c r="A1007" t="s">
        <v>1035</v>
      </c>
      <c r="B1007" s="2">
        <v>45756</v>
      </c>
      <c r="C1007" t="s">
        <v>723</v>
      </c>
      <c r="D1007" t="s">
        <v>28</v>
      </c>
      <c r="E1007" t="s">
        <v>19</v>
      </c>
      <c r="F1007" t="s">
        <v>29</v>
      </c>
      <c r="G1007" t="s">
        <v>26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100</v>
      </c>
    </row>
    <row r="1008" spans="1:16">
      <c r="A1008" t="s">
        <v>1036</v>
      </c>
      <c r="B1008" s="2">
        <v>45701</v>
      </c>
      <c r="C1008" t="s">
        <v>723</v>
      </c>
      <c r="D1008" t="s">
        <v>18</v>
      </c>
      <c r="E1008" t="s">
        <v>24</v>
      </c>
      <c r="F1008" t="s">
        <v>39</v>
      </c>
      <c r="G1008" t="s">
        <v>21</v>
      </c>
      <c r="H1008">
        <v>1</v>
      </c>
      <c r="I1008">
        <v>1</v>
      </c>
      <c r="J1008">
        <v>1</v>
      </c>
      <c r="K1008">
        <v>0</v>
      </c>
      <c r="L1008">
        <v>0</v>
      </c>
      <c r="M1008">
        <v>2</v>
      </c>
      <c r="N1008">
        <v>0</v>
      </c>
      <c r="P1008">
        <v>45.9</v>
      </c>
    </row>
    <row r="1009" spans="1:16">
      <c r="A1009" t="s">
        <v>1037</v>
      </c>
      <c r="B1009" s="2">
        <v>45780</v>
      </c>
      <c r="C1009" t="s">
        <v>723</v>
      </c>
      <c r="D1009" t="s">
        <v>28</v>
      </c>
      <c r="E1009" t="s">
        <v>24</v>
      </c>
      <c r="F1009" t="s">
        <v>20</v>
      </c>
      <c r="G1009" t="s">
        <v>26</v>
      </c>
      <c r="H1009">
        <v>1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P1009">
        <v>80.7</v>
      </c>
    </row>
    <row r="1010" spans="1:16">
      <c r="A1010" t="s">
        <v>1038</v>
      </c>
      <c r="B1010" s="2">
        <v>45763</v>
      </c>
      <c r="C1010" t="s">
        <v>723</v>
      </c>
      <c r="D1010" t="s">
        <v>32</v>
      </c>
      <c r="E1010" t="s">
        <v>19</v>
      </c>
      <c r="F1010" t="s">
        <v>39</v>
      </c>
      <c r="G1010" t="s">
        <v>30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51.9</v>
      </c>
    </row>
    <row r="1011" spans="1:16">
      <c r="A1011" t="s">
        <v>1039</v>
      </c>
      <c r="B1011" s="2">
        <v>45777</v>
      </c>
      <c r="C1011" t="s">
        <v>723</v>
      </c>
      <c r="D1011" t="s">
        <v>18</v>
      </c>
      <c r="E1011" t="s">
        <v>24</v>
      </c>
      <c r="F1011" t="s">
        <v>29</v>
      </c>
      <c r="G1011" t="s">
        <v>30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68.900000000000006</v>
      </c>
    </row>
    <row r="1012" spans="1:16">
      <c r="A1012" t="s">
        <v>1040</v>
      </c>
      <c r="B1012" s="2">
        <v>45706</v>
      </c>
      <c r="C1012" t="s">
        <v>723</v>
      </c>
      <c r="D1012" t="s">
        <v>23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P1012">
        <v>66</v>
      </c>
    </row>
    <row r="1013" spans="1:16">
      <c r="A1013" t="s">
        <v>1041</v>
      </c>
      <c r="B1013" s="2">
        <v>45799</v>
      </c>
      <c r="C1013" t="s">
        <v>723</v>
      </c>
      <c r="D1013" t="s">
        <v>23</v>
      </c>
      <c r="E1013" t="s">
        <v>19</v>
      </c>
      <c r="F1013" t="s">
        <v>39</v>
      </c>
      <c r="G1013" t="s">
        <v>21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P1013">
        <v>63.1</v>
      </c>
    </row>
    <row r="1014" spans="1:16">
      <c r="A1014" t="s">
        <v>1042</v>
      </c>
      <c r="B1014" s="2">
        <v>45798</v>
      </c>
      <c r="C1014" t="s">
        <v>723</v>
      </c>
      <c r="D1014" t="s">
        <v>32</v>
      </c>
      <c r="E1014" t="s">
        <v>19</v>
      </c>
      <c r="F1014" t="s">
        <v>25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56</v>
      </c>
    </row>
    <row r="1015" spans="1:16">
      <c r="A1015" t="s">
        <v>1043</v>
      </c>
      <c r="B1015" s="2">
        <v>45757</v>
      </c>
      <c r="C1015" t="s">
        <v>723</v>
      </c>
      <c r="D1015" t="s">
        <v>28</v>
      </c>
      <c r="E1015" t="s">
        <v>19</v>
      </c>
      <c r="F1015" t="s">
        <v>25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P1015">
        <v>65.7</v>
      </c>
    </row>
    <row r="1016" spans="1:16">
      <c r="A1016" t="s">
        <v>1044</v>
      </c>
      <c r="B1016" s="2">
        <v>45664</v>
      </c>
      <c r="C1016" t="s">
        <v>723</v>
      </c>
      <c r="D1016" t="s">
        <v>18</v>
      </c>
      <c r="E1016" t="s">
        <v>19</v>
      </c>
      <c r="F1016" t="s">
        <v>25</v>
      </c>
      <c r="G1016" t="s">
        <v>30</v>
      </c>
      <c r="H1016">
        <v>1</v>
      </c>
      <c r="I1016">
        <v>1</v>
      </c>
      <c r="J1016">
        <v>1</v>
      </c>
      <c r="K1016">
        <v>1</v>
      </c>
      <c r="L1016">
        <v>1938.31</v>
      </c>
      <c r="M1016">
        <v>1</v>
      </c>
      <c r="N1016">
        <v>0</v>
      </c>
      <c r="O1016">
        <v>9</v>
      </c>
      <c r="P1016">
        <v>60.9</v>
      </c>
    </row>
    <row r="1017" spans="1:16">
      <c r="A1017" t="s">
        <v>1045</v>
      </c>
      <c r="B1017" s="2">
        <v>45691</v>
      </c>
      <c r="C1017" t="s">
        <v>723</v>
      </c>
      <c r="D1017" t="s">
        <v>32</v>
      </c>
      <c r="E1017" t="s">
        <v>19</v>
      </c>
      <c r="F1017" t="s">
        <v>41</v>
      </c>
      <c r="G1017" t="s">
        <v>26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45.5</v>
      </c>
    </row>
    <row r="1018" spans="1:16">
      <c r="A1018" t="s">
        <v>1046</v>
      </c>
      <c r="B1018" s="2">
        <v>45795</v>
      </c>
      <c r="C1018" t="s">
        <v>723</v>
      </c>
      <c r="D1018" t="s">
        <v>18</v>
      </c>
      <c r="E1018" t="s">
        <v>24</v>
      </c>
      <c r="F1018" t="s">
        <v>29</v>
      </c>
      <c r="G1018" t="s">
        <v>26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>
        <v>50</v>
      </c>
    </row>
    <row r="1019" spans="1:16">
      <c r="A1019" t="s">
        <v>1047</v>
      </c>
      <c r="B1019" s="2">
        <v>45688</v>
      </c>
      <c r="C1019" t="s">
        <v>723</v>
      </c>
      <c r="D1019" t="s">
        <v>18</v>
      </c>
      <c r="E1019" t="s">
        <v>24</v>
      </c>
      <c r="F1019" t="s">
        <v>39</v>
      </c>
      <c r="G1019" t="s">
        <v>26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72.099999999999994</v>
      </c>
    </row>
    <row r="1020" spans="1:16">
      <c r="A1020" t="s">
        <v>1048</v>
      </c>
      <c r="B1020" s="2">
        <v>45673</v>
      </c>
      <c r="C1020" t="s">
        <v>723</v>
      </c>
      <c r="D1020" t="s">
        <v>32</v>
      </c>
      <c r="E1020" t="s">
        <v>19</v>
      </c>
      <c r="F1020" t="s">
        <v>25</v>
      </c>
      <c r="G1020" t="s">
        <v>21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76.3</v>
      </c>
    </row>
    <row r="1021" spans="1:16">
      <c r="A1021" t="s">
        <v>1049</v>
      </c>
      <c r="B1021" s="2">
        <v>45791</v>
      </c>
      <c r="C1021" t="s">
        <v>723</v>
      </c>
      <c r="D1021" t="s">
        <v>28</v>
      </c>
      <c r="E1021" t="s">
        <v>24</v>
      </c>
      <c r="F1021" t="s">
        <v>29</v>
      </c>
      <c r="G1021" t="s">
        <v>21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1</v>
      </c>
      <c r="N1021">
        <v>0</v>
      </c>
      <c r="P1021">
        <v>54.8</v>
      </c>
    </row>
    <row r="1022" spans="1:16">
      <c r="A1022" t="s">
        <v>1050</v>
      </c>
      <c r="B1022" s="2">
        <v>45748</v>
      </c>
      <c r="C1022" t="s">
        <v>723</v>
      </c>
      <c r="D1022" t="s">
        <v>32</v>
      </c>
      <c r="E1022" t="s">
        <v>24</v>
      </c>
      <c r="G1022" t="s">
        <v>21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63.6</v>
      </c>
    </row>
    <row r="1023" spans="1:16">
      <c r="A1023" t="s">
        <v>1051</v>
      </c>
      <c r="B1023" s="2">
        <v>45770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68.8</v>
      </c>
    </row>
    <row r="1024" spans="1:16">
      <c r="A1024" t="s">
        <v>1052</v>
      </c>
      <c r="B1024" s="2">
        <v>45718</v>
      </c>
      <c r="C1024" t="s">
        <v>723</v>
      </c>
      <c r="D1024" t="s">
        <v>32</v>
      </c>
      <c r="E1024" t="s">
        <v>19</v>
      </c>
      <c r="F1024" t="s">
        <v>29</v>
      </c>
      <c r="G1024" t="s">
        <v>21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63.2</v>
      </c>
    </row>
    <row r="1025" spans="1:16">
      <c r="A1025" t="s">
        <v>1053</v>
      </c>
      <c r="B1025" s="2">
        <v>45659</v>
      </c>
      <c r="C1025" t="s">
        <v>723</v>
      </c>
      <c r="D1025" t="s">
        <v>28</v>
      </c>
      <c r="E1025" t="s">
        <v>24</v>
      </c>
      <c r="F1025" t="s">
        <v>29</v>
      </c>
      <c r="G1025" t="s">
        <v>21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45</v>
      </c>
    </row>
    <row r="1026" spans="1:16">
      <c r="A1026" t="s">
        <v>1054</v>
      </c>
      <c r="B1026" s="2">
        <v>45781</v>
      </c>
      <c r="C1026" t="s">
        <v>723</v>
      </c>
      <c r="D1026" t="s">
        <v>32</v>
      </c>
      <c r="E1026" t="s">
        <v>24</v>
      </c>
      <c r="F1026" t="s">
        <v>25</v>
      </c>
      <c r="G1026" t="s">
        <v>26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P1026">
        <v>77.400000000000006</v>
      </c>
    </row>
    <row r="1027" spans="1:16">
      <c r="A1027" t="s">
        <v>1055</v>
      </c>
      <c r="B1027" s="2">
        <v>45673</v>
      </c>
      <c r="C1027" t="s">
        <v>723</v>
      </c>
      <c r="D1027" t="s">
        <v>28</v>
      </c>
      <c r="E1027" t="s">
        <v>19</v>
      </c>
      <c r="F1027" t="s">
        <v>29</v>
      </c>
      <c r="G1027" t="s">
        <v>21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53.1</v>
      </c>
    </row>
    <row r="1028" spans="1:16">
      <c r="A1028" t="s">
        <v>1056</v>
      </c>
      <c r="B1028" s="2">
        <v>45699</v>
      </c>
      <c r="C1028" t="s">
        <v>723</v>
      </c>
      <c r="D1028" t="s">
        <v>23</v>
      </c>
      <c r="E1028" t="s">
        <v>34</v>
      </c>
      <c r="F1028" t="s">
        <v>29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74</v>
      </c>
    </row>
    <row r="1029" spans="1:16">
      <c r="A1029" t="s">
        <v>1057</v>
      </c>
      <c r="B1029" s="2">
        <v>45750</v>
      </c>
      <c r="C1029" t="s">
        <v>723</v>
      </c>
      <c r="D1029" t="s">
        <v>18</v>
      </c>
      <c r="E1029" t="s">
        <v>24</v>
      </c>
      <c r="F1029" t="s">
        <v>41</v>
      </c>
      <c r="G1029" t="s">
        <v>30</v>
      </c>
      <c r="H1029">
        <v>1</v>
      </c>
      <c r="I1029">
        <v>1</v>
      </c>
      <c r="J1029">
        <v>1</v>
      </c>
      <c r="K1029">
        <v>1</v>
      </c>
      <c r="L1029">
        <v>1906.23</v>
      </c>
      <c r="M1029">
        <v>0</v>
      </c>
      <c r="N1029">
        <v>0</v>
      </c>
      <c r="O1029">
        <v>4</v>
      </c>
      <c r="P1029">
        <v>84.6</v>
      </c>
    </row>
    <row r="1030" spans="1:16">
      <c r="A1030" t="s">
        <v>1058</v>
      </c>
      <c r="B1030" s="2">
        <v>45742</v>
      </c>
      <c r="C1030" t="s">
        <v>723</v>
      </c>
      <c r="D1030" t="s">
        <v>28</v>
      </c>
      <c r="E1030" t="s">
        <v>24</v>
      </c>
      <c r="F1030" t="s">
        <v>39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P1030">
        <v>57</v>
      </c>
    </row>
    <row r="1031" spans="1:16">
      <c r="A1031" t="s">
        <v>1059</v>
      </c>
      <c r="B1031" s="2">
        <v>45793</v>
      </c>
      <c r="C1031" t="s">
        <v>723</v>
      </c>
      <c r="D1031" t="s">
        <v>32</v>
      </c>
      <c r="E1031" t="s">
        <v>24</v>
      </c>
      <c r="F1031" t="s">
        <v>20</v>
      </c>
      <c r="G1031" t="s">
        <v>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P1031">
        <v>46.3</v>
      </c>
    </row>
    <row r="1032" spans="1:16">
      <c r="A1032" t="s">
        <v>1060</v>
      </c>
      <c r="B1032" s="2">
        <v>45767</v>
      </c>
      <c r="C1032" t="s">
        <v>723</v>
      </c>
      <c r="D1032" t="s">
        <v>23</v>
      </c>
      <c r="E1032" t="s">
        <v>24</v>
      </c>
      <c r="F1032" t="s">
        <v>41</v>
      </c>
      <c r="G1032" t="s">
        <v>26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P1032">
        <v>64.400000000000006</v>
      </c>
    </row>
    <row r="1033" spans="1:16">
      <c r="A1033" t="s">
        <v>1061</v>
      </c>
      <c r="B1033" s="2">
        <v>45762</v>
      </c>
      <c r="C1033" t="s">
        <v>723</v>
      </c>
      <c r="D1033" t="s">
        <v>23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2</v>
      </c>
      <c r="N1033">
        <v>0</v>
      </c>
      <c r="P1033">
        <v>61.9</v>
      </c>
    </row>
    <row r="1034" spans="1:16">
      <c r="A1034" t="s">
        <v>1062</v>
      </c>
      <c r="B1034" s="2">
        <v>45681</v>
      </c>
      <c r="C1034" t="s">
        <v>723</v>
      </c>
      <c r="D1034" t="s">
        <v>18</v>
      </c>
      <c r="E1034" t="s">
        <v>24</v>
      </c>
      <c r="F1034" t="s">
        <v>25</v>
      </c>
      <c r="G1034" t="s">
        <v>30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P1034">
        <v>93.7</v>
      </c>
    </row>
    <row r="1035" spans="1:16">
      <c r="A1035" t="s">
        <v>1063</v>
      </c>
      <c r="B1035" s="2">
        <v>45758</v>
      </c>
      <c r="C1035" t="s">
        <v>723</v>
      </c>
      <c r="D1035" t="s">
        <v>32</v>
      </c>
      <c r="E1035" t="s">
        <v>24</v>
      </c>
      <c r="F1035" t="s">
        <v>39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61.6</v>
      </c>
    </row>
    <row r="1036" spans="1:16">
      <c r="A1036" t="s">
        <v>1064</v>
      </c>
      <c r="B1036" s="2">
        <v>45796</v>
      </c>
      <c r="C1036" t="s">
        <v>723</v>
      </c>
      <c r="D1036" t="s">
        <v>18</v>
      </c>
      <c r="E1036" t="s">
        <v>24</v>
      </c>
      <c r="F1036" t="s">
        <v>29</v>
      </c>
      <c r="G1036" t="s">
        <v>26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72.2</v>
      </c>
    </row>
    <row r="1037" spans="1:16">
      <c r="A1037" t="s">
        <v>1065</v>
      </c>
      <c r="B1037" s="2">
        <v>45671</v>
      </c>
      <c r="C1037" t="s">
        <v>723</v>
      </c>
      <c r="D1037" t="s">
        <v>18</v>
      </c>
      <c r="E1037" t="s">
        <v>24</v>
      </c>
      <c r="F1037" t="s">
        <v>25</v>
      </c>
      <c r="G1037" t="s">
        <v>21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69.5</v>
      </c>
    </row>
    <row r="1038" spans="1:16">
      <c r="A1038" t="s">
        <v>1066</v>
      </c>
      <c r="B1038" s="2">
        <v>45716</v>
      </c>
      <c r="C1038" t="s">
        <v>723</v>
      </c>
      <c r="D1038" t="s">
        <v>28</v>
      </c>
      <c r="E1038" t="s">
        <v>19</v>
      </c>
      <c r="F1038" t="s">
        <v>25</v>
      </c>
      <c r="G1038" t="s">
        <v>21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59.7</v>
      </c>
    </row>
    <row r="1039" spans="1:16">
      <c r="A1039" t="s">
        <v>1067</v>
      </c>
      <c r="B1039" s="2">
        <v>45795</v>
      </c>
      <c r="C1039" t="s">
        <v>723</v>
      </c>
      <c r="D1039" t="s">
        <v>28</v>
      </c>
      <c r="E1039" t="s">
        <v>34</v>
      </c>
      <c r="F1039" t="s">
        <v>29</v>
      </c>
      <c r="G1039" t="s">
        <v>21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P1039">
        <v>73.900000000000006</v>
      </c>
    </row>
    <row r="1040" spans="1:16">
      <c r="A1040" t="s">
        <v>1068</v>
      </c>
      <c r="B1040" s="2">
        <v>45661</v>
      </c>
      <c r="C1040" t="s">
        <v>723</v>
      </c>
      <c r="D1040" t="s">
        <v>18</v>
      </c>
      <c r="E1040" t="s">
        <v>24</v>
      </c>
      <c r="F1040" t="s">
        <v>41</v>
      </c>
      <c r="G1040" t="s">
        <v>26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P1040">
        <v>41.5</v>
      </c>
    </row>
    <row r="1041" spans="1:16">
      <c r="A1041" t="s">
        <v>1069</v>
      </c>
      <c r="B1041" s="2">
        <v>45673</v>
      </c>
      <c r="C1041" t="s">
        <v>723</v>
      </c>
      <c r="D1041" t="s">
        <v>23</v>
      </c>
      <c r="E1041" t="s">
        <v>24</v>
      </c>
      <c r="F1041" t="s">
        <v>41</v>
      </c>
      <c r="G1041" t="s">
        <v>30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82.8</v>
      </c>
    </row>
    <row r="1042" spans="1:16">
      <c r="A1042" t="s">
        <v>1070</v>
      </c>
      <c r="B1042" s="2">
        <v>45730</v>
      </c>
      <c r="C1042" t="s">
        <v>723</v>
      </c>
      <c r="D1042" t="s">
        <v>23</v>
      </c>
      <c r="E1042" t="s">
        <v>24</v>
      </c>
      <c r="F1042" t="s">
        <v>41</v>
      </c>
      <c r="G1042" t="s">
        <v>30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3</v>
      </c>
      <c r="N1042">
        <v>0</v>
      </c>
      <c r="P1042">
        <v>70.2</v>
      </c>
    </row>
    <row r="1043" spans="1:16">
      <c r="A1043" t="s">
        <v>1071</v>
      </c>
      <c r="B1043" s="2">
        <v>45680</v>
      </c>
      <c r="C1043" t="s">
        <v>723</v>
      </c>
      <c r="D1043" t="s">
        <v>28</v>
      </c>
      <c r="E1043" t="s">
        <v>24</v>
      </c>
      <c r="F1043" t="s">
        <v>29</v>
      </c>
      <c r="G1043" t="s">
        <v>21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69.400000000000006</v>
      </c>
    </row>
    <row r="1044" spans="1:16">
      <c r="A1044" t="s">
        <v>1072</v>
      </c>
      <c r="B1044" s="2">
        <v>45691</v>
      </c>
      <c r="C1044" t="s">
        <v>723</v>
      </c>
      <c r="D1044" t="s">
        <v>18</v>
      </c>
      <c r="E1044" t="s">
        <v>19</v>
      </c>
      <c r="F1044" t="s">
        <v>25</v>
      </c>
      <c r="G1044" t="s">
        <v>21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P1044">
        <v>60.4</v>
      </c>
    </row>
    <row r="1045" spans="1:16">
      <c r="A1045" t="s">
        <v>1073</v>
      </c>
      <c r="B1045" s="2">
        <v>45793</v>
      </c>
      <c r="C1045" t="s">
        <v>723</v>
      </c>
      <c r="D1045" t="s">
        <v>28</v>
      </c>
      <c r="E1045" t="s">
        <v>24</v>
      </c>
      <c r="F1045" t="s">
        <v>39</v>
      </c>
      <c r="G1045" t="s">
        <v>26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45.7</v>
      </c>
    </row>
    <row r="1046" spans="1:16">
      <c r="A1046" t="s">
        <v>1074</v>
      </c>
      <c r="B1046" s="2">
        <v>45668</v>
      </c>
      <c r="C1046" t="s">
        <v>723</v>
      </c>
      <c r="D1046" t="s">
        <v>23</v>
      </c>
      <c r="E1046" t="s">
        <v>24</v>
      </c>
      <c r="F1046" t="s">
        <v>25</v>
      </c>
      <c r="G1046" t="s">
        <v>21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P1046">
        <v>42.2</v>
      </c>
    </row>
    <row r="1047" spans="1:16">
      <c r="A1047" t="s">
        <v>1075</v>
      </c>
      <c r="B1047" s="2">
        <v>45802</v>
      </c>
      <c r="C1047" t="s">
        <v>723</v>
      </c>
      <c r="D1047" t="s">
        <v>18</v>
      </c>
      <c r="E1047" t="s">
        <v>19</v>
      </c>
      <c r="F1047" t="s">
        <v>25</v>
      </c>
      <c r="G1047" t="s">
        <v>26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</v>
      </c>
      <c r="N1047">
        <v>0</v>
      </c>
      <c r="P1047">
        <v>61.9</v>
      </c>
    </row>
    <row r="1048" spans="1:16">
      <c r="A1048" t="s">
        <v>1076</v>
      </c>
      <c r="B1048" s="2">
        <v>45785</v>
      </c>
      <c r="C1048" t="s">
        <v>723</v>
      </c>
      <c r="D1048" t="s">
        <v>28</v>
      </c>
      <c r="E1048" t="s">
        <v>24</v>
      </c>
      <c r="F1048" t="s">
        <v>29</v>
      </c>
      <c r="G1048" t="s">
        <v>30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44.9</v>
      </c>
    </row>
    <row r="1049" spans="1:16">
      <c r="A1049" t="s">
        <v>1077</v>
      </c>
      <c r="B1049" s="2">
        <v>45714</v>
      </c>
      <c r="C1049" t="s">
        <v>723</v>
      </c>
      <c r="D1049" t="s">
        <v>28</v>
      </c>
      <c r="E1049" t="s">
        <v>19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68</v>
      </c>
    </row>
    <row r="1050" spans="1:16">
      <c r="A1050" t="s">
        <v>1078</v>
      </c>
      <c r="B1050" s="2">
        <v>45746</v>
      </c>
      <c r="C1050" t="s">
        <v>723</v>
      </c>
      <c r="D1050" t="s">
        <v>18</v>
      </c>
      <c r="E1050" t="s">
        <v>24</v>
      </c>
      <c r="F1050" t="s">
        <v>29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61</v>
      </c>
    </row>
    <row r="1051" spans="1:16">
      <c r="A1051" t="s">
        <v>1079</v>
      </c>
      <c r="B1051" s="2">
        <v>45760</v>
      </c>
      <c r="C1051" t="s">
        <v>723</v>
      </c>
      <c r="D1051" t="s">
        <v>23</v>
      </c>
      <c r="E1051" t="s">
        <v>24</v>
      </c>
      <c r="F1051" t="s">
        <v>25</v>
      </c>
      <c r="G1051" t="s">
        <v>21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P1051">
        <v>55</v>
      </c>
    </row>
    <row r="1052" spans="1:16">
      <c r="A1052" t="s">
        <v>1080</v>
      </c>
      <c r="B1052" s="2">
        <v>45708</v>
      </c>
      <c r="C1052" t="s">
        <v>723</v>
      </c>
      <c r="D1052" t="s">
        <v>28</v>
      </c>
      <c r="F1052" t="s">
        <v>29</v>
      </c>
      <c r="G1052" t="s">
        <v>21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63.1</v>
      </c>
    </row>
    <row r="1053" spans="1:16">
      <c r="A1053" t="s">
        <v>1081</v>
      </c>
      <c r="B1053" s="2">
        <v>45766</v>
      </c>
      <c r="C1053" t="s">
        <v>723</v>
      </c>
      <c r="D1053" t="s">
        <v>23</v>
      </c>
      <c r="E1053" t="s">
        <v>19</v>
      </c>
      <c r="F1053" t="s">
        <v>41</v>
      </c>
      <c r="G1053" t="s">
        <v>26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P1053">
        <v>75.8</v>
      </c>
    </row>
    <row r="1054" spans="1:16">
      <c r="A1054" t="s">
        <v>1082</v>
      </c>
      <c r="B1054" s="2">
        <v>45738</v>
      </c>
      <c r="C1054" t="s">
        <v>723</v>
      </c>
      <c r="D1054" t="s">
        <v>32</v>
      </c>
      <c r="E1054" t="s">
        <v>24</v>
      </c>
      <c r="F1054" t="s">
        <v>29</v>
      </c>
      <c r="G1054" t="s">
        <v>26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0</v>
      </c>
      <c r="P1054">
        <v>43.8</v>
      </c>
    </row>
    <row r="1055" spans="1:16">
      <c r="A1055" t="s">
        <v>1083</v>
      </c>
      <c r="B1055" s="2">
        <v>45716</v>
      </c>
      <c r="C1055" t="s">
        <v>723</v>
      </c>
      <c r="D1055" t="s">
        <v>18</v>
      </c>
      <c r="E1055" t="s">
        <v>24</v>
      </c>
      <c r="F1055" t="s">
        <v>20</v>
      </c>
      <c r="G1055" t="s">
        <v>21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P1055">
        <v>46.8</v>
      </c>
    </row>
    <row r="1056" spans="1:16">
      <c r="A1056" t="s">
        <v>1084</v>
      </c>
      <c r="B1056" s="2">
        <v>45801</v>
      </c>
      <c r="C1056" t="s">
        <v>723</v>
      </c>
      <c r="D1056" t="s">
        <v>28</v>
      </c>
      <c r="E1056" t="s">
        <v>24</v>
      </c>
      <c r="F1056" t="s">
        <v>41</v>
      </c>
      <c r="G1056" t="s">
        <v>26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P1056">
        <v>97.4</v>
      </c>
    </row>
    <row r="1057" spans="1:17">
      <c r="A1057" t="s">
        <v>1085</v>
      </c>
      <c r="B1057" s="2">
        <v>45691</v>
      </c>
      <c r="C1057" t="s">
        <v>723</v>
      </c>
      <c r="D1057" t="s">
        <v>18</v>
      </c>
      <c r="E1057" t="s">
        <v>19</v>
      </c>
      <c r="F1057" t="s">
        <v>20</v>
      </c>
      <c r="G1057" t="s">
        <v>26</v>
      </c>
      <c r="H1057">
        <v>1</v>
      </c>
      <c r="I1057">
        <v>1</v>
      </c>
      <c r="J1057">
        <v>1</v>
      </c>
      <c r="K1057">
        <v>1</v>
      </c>
      <c r="L1057">
        <v>268.95999999999998</v>
      </c>
      <c r="M1057">
        <v>0</v>
      </c>
      <c r="N1057">
        <v>0</v>
      </c>
      <c r="O1057">
        <v>14</v>
      </c>
      <c r="P1057">
        <v>81</v>
      </c>
    </row>
    <row r="1058" spans="1:17">
      <c r="A1058" t="s">
        <v>1086</v>
      </c>
      <c r="B1058" s="2">
        <v>45684</v>
      </c>
      <c r="C1058" t="s">
        <v>723</v>
      </c>
      <c r="D1058" t="s">
        <v>32</v>
      </c>
      <c r="E1058" t="s">
        <v>24</v>
      </c>
      <c r="F1058" t="s">
        <v>25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P1058">
        <v>58.9</v>
      </c>
    </row>
    <row r="1059" spans="1:17">
      <c r="A1059" t="s">
        <v>1087</v>
      </c>
      <c r="B1059" s="2">
        <v>45764</v>
      </c>
      <c r="C1059" t="s">
        <v>723</v>
      </c>
      <c r="D1059" t="s">
        <v>28</v>
      </c>
      <c r="E1059" t="s">
        <v>24</v>
      </c>
      <c r="F1059" t="s">
        <v>25</v>
      </c>
      <c r="G1059" t="s">
        <v>26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51.9</v>
      </c>
    </row>
    <row r="1060" spans="1:17">
      <c r="A1060" t="s">
        <v>1088</v>
      </c>
      <c r="B1060" s="2">
        <v>45694</v>
      </c>
      <c r="C1060" t="s">
        <v>723</v>
      </c>
      <c r="D1060" t="s">
        <v>23</v>
      </c>
      <c r="E1060" t="s">
        <v>24</v>
      </c>
      <c r="F1060" t="s">
        <v>41</v>
      </c>
      <c r="G1060" t="s">
        <v>26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61.7</v>
      </c>
    </row>
    <row r="1061" spans="1:17">
      <c r="A1061" t="s">
        <v>1089</v>
      </c>
      <c r="B1061" s="2">
        <v>45767</v>
      </c>
      <c r="C1061" t="s">
        <v>723</v>
      </c>
      <c r="D1061" t="s">
        <v>32</v>
      </c>
      <c r="E1061" t="s">
        <v>24</v>
      </c>
      <c r="F1061" t="s">
        <v>29</v>
      </c>
      <c r="G1061" t="s">
        <v>26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P1061">
        <v>44.7</v>
      </c>
    </row>
    <row r="1062" spans="1:17">
      <c r="A1062" t="s">
        <v>1090</v>
      </c>
      <c r="B1062" s="2">
        <v>45783</v>
      </c>
      <c r="C1062" t="s">
        <v>723</v>
      </c>
      <c r="D1062" t="s">
        <v>18</v>
      </c>
      <c r="E1062" t="s">
        <v>24</v>
      </c>
      <c r="F1062" t="s">
        <v>29</v>
      </c>
      <c r="G1062" t="s">
        <v>21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63.2</v>
      </c>
    </row>
    <row r="1063" spans="1:17" s="23" customFormat="1">
      <c r="A1063" s="23" t="s">
        <v>949</v>
      </c>
      <c r="B1063" s="24">
        <v>45711</v>
      </c>
      <c r="C1063" s="23" t="s">
        <v>723</v>
      </c>
      <c r="D1063" s="23" t="s">
        <v>23</v>
      </c>
      <c r="E1063" s="23" t="s">
        <v>19</v>
      </c>
      <c r="F1063" s="23" t="s">
        <v>41</v>
      </c>
      <c r="G1063" s="23" t="s">
        <v>21</v>
      </c>
      <c r="H1063" s="23">
        <v>1</v>
      </c>
      <c r="I1063" s="23">
        <v>1</v>
      </c>
      <c r="J1063" s="23">
        <v>1</v>
      </c>
      <c r="K1063" s="23">
        <v>0</v>
      </c>
      <c r="L1063" s="23">
        <v>0</v>
      </c>
      <c r="M1063" s="23">
        <v>0</v>
      </c>
      <c r="N1063" s="23">
        <v>0</v>
      </c>
      <c r="P1063" s="23">
        <v>70.599999999999994</v>
      </c>
      <c r="Q1063" s="23" t="s">
        <v>1470</v>
      </c>
    </row>
    <row r="1064" spans="1:17">
      <c r="A1064" t="s">
        <v>1092</v>
      </c>
      <c r="B1064" s="2">
        <v>45718</v>
      </c>
      <c r="C1064" t="s">
        <v>723</v>
      </c>
      <c r="D1064" t="s">
        <v>32</v>
      </c>
      <c r="E1064" t="s">
        <v>24</v>
      </c>
      <c r="F1064" t="s">
        <v>29</v>
      </c>
      <c r="G1064" t="s">
        <v>30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0</v>
      </c>
      <c r="P1064">
        <v>83.1</v>
      </c>
    </row>
    <row r="1065" spans="1:17">
      <c r="A1065" t="s">
        <v>1093</v>
      </c>
      <c r="B1065" s="2">
        <v>45756</v>
      </c>
      <c r="C1065" t="s">
        <v>723</v>
      </c>
      <c r="D1065" t="s">
        <v>23</v>
      </c>
      <c r="E1065" t="s">
        <v>24</v>
      </c>
      <c r="F1065" t="s">
        <v>41</v>
      </c>
      <c r="G1065" t="s">
        <v>26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50.3</v>
      </c>
    </row>
    <row r="1066" spans="1:17">
      <c r="A1066" t="s">
        <v>1094</v>
      </c>
      <c r="B1066" s="2">
        <v>45683</v>
      </c>
      <c r="C1066" t="s">
        <v>723</v>
      </c>
      <c r="D1066" t="s">
        <v>28</v>
      </c>
      <c r="E1066" t="s">
        <v>24</v>
      </c>
      <c r="F1066" t="s">
        <v>29</v>
      </c>
      <c r="G1066" t="s">
        <v>26</v>
      </c>
      <c r="H1066">
        <v>1</v>
      </c>
      <c r="I1066">
        <v>1</v>
      </c>
      <c r="J1066">
        <v>1</v>
      </c>
      <c r="K1066">
        <v>1</v>
      </c>
      <c r="L1066">
        <v>437.09</v>
      </c>
      <c r="M1066">
        <v>2</v>
      </c>
      <c r="N1066">
        <v>1</v>
      </c>
      <c r="O1066">
        <v>1</v>
      </c>
      <c r="P1066">
        <v>58.2</v>
      </c>
    </row>
    <row r="1067" spans="1:17">
      <c r="A1067" t="s">
        <v>1095</v>
      </c>
      <c r="B1067" s="2">
        <v>45713</v>
      </c>
      <c r="C1067" t="s">
        <v>723</v>
      </c>
      <c r="D1067" t="s">
        <v>32</v>
      </c>
      <c r="E1067" t="s">
        <v>24</v>
      </c>
      <c r="F1067" t="s">
        <v>29</v>
      </c>
      <c r="G1067" t="s">
        <v>21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P1067">
        <v>53.2</v>
      </c>
    </row>
    <row r="1068" spans="1:17">
      <c r="A1068" t="s">
        <v>1096</v>
      </c>
      <c r="B1068" s="2">
        <v>45664</v>
      </c>
      <c r="C1068" t="s">
        <v>723</v>
      </c>
      <c r="D1068" t="s">
        <v>28</v>
      </c>
      <c r="E1068" t="s">
        <v>24</v>
      </c>
      <c r="F1068" t="s">
        <v>25</v>
      </c>
      <c r="G1068" t="s">
        <v>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36.4</v>
      </c>
    </row>
    <row r="1069" spans="1:17">
      <c r="A1069" t="s">
        <v>1097</v>
      </c>
      <c r="B1069" s="2">
        <v>45724</v>
      </c>
      <c r="C1069" t="s">
        <v>723</v>
      </c>
      <c r="D1069" t="s">
        <v>32</v>
      </c>
      <c r="E1069" t="s">
        <v>24</v>
      </c>
      <c r="F1069" t="s">
        <v>41</v>
      </c>
      <c r="G1069" t="s">
        <v>21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P1069">
        <v>72.7</v>
      </c>
    </row>
    <row r="1070" spans="1:17">
      <c r="A1070" t="s">
        <v>1098</v>
      </c>
      <c r="B1070" s="2">
        <v>45799</v>
      </c>
      <c r="C1070" t="s">
        <v>723</v>
      </c>
      <c r="D1070" t="s">
        <v>28</v>
      </c>
      <c r="E1070" t="s">
        <v>24</v>
      </c>
      <c r="F1070" t="s">
        <v>39</v>
      </c>
      <c r="G1070" t="s">
        <v>26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P1070">
        <v>86.7</v>
      </c>
    </row>
    <row r="1071" spans="1:17">
      <c r="A1071" t="s">
        <v>1099</v>
      </c>
      <c r="B1071" s="2">
        <v>45765</v>
      </c>
      <c r="C1071" t="s">
        <v>723</v>
      </c>
      <c r="D1071" t="s">
        <v>28</v>
      </c>
      <c r="E1071" t="s">
        <v>24</v>
      </c>
      <c r="F1071" t="s">
        <v>29</v>
      </c>
      <c r="G1071" t="s">
        <v>30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P1071">
        <v>48.2</v>
      </c>
    </row>
    <row r="1072" spans="1:17">
      <c r="A1072" t="s">
        <v>1100</v>
      </c>
      <c r="B1072" s="2">
        <v>45712</v>
      </c>
      <c r="C1072" t="s">
        <v>723</v>
      </c>
      <c r="D1072" t="s">
        <v>23</v>
      </c>
      <c r="E1072" t="s">
        <v>24</v>
      </c>
      <c r="F1072" t="s">
        <v>39</v>
      </c>
      <c r="G1072" t="s">
        <v>21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P1072">
        <v>57.6</v>
      </c>
    </row>
    <row r="1073" spans="1:16">
      <c r="A1073" t="s">
        <v>1101</v>
      </c>
      <c r="B1073" s="2">
        <v>45699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1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P1073">
        <v>75.7</v>
      </c>
    </row>
    <row r="1074" spans="1:16">
      <c r="A1074" t="s">
        <v>1102</v>
      </c>
      <c r="B1074" s="2">
        <v>45727</v>
      </c>
      <c r="C1074" t="s">
        <v>723</v>
      </c>
      <c r="D1074" t="s">
        <v>23</v>
      </c>
      <c r="E1074" t="s">
        <v>19</v>
      </c>
      <c r="F1074" t="s">
        <v>29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2</v>
      </c>
      <c r="N1074">
        <v>0</v>
      </c>
      <c r="P1074">
        <v>48.6</v>
      </c>
    </row>
    <row r="1075" spans="1:16">
      <c r="A1075" t="s">
        <v>1103</v>
      </c>
      <c r="B1075" s="2">
        <v>45758</v>
      </c>
      <c r="C1075" t="s">
        <v>723</v>
      </c>
      <c r="D1075" t="s">
        <v>28</v>
      </c>
      <c r="E1075" t="s">
        <v>34</v>
      </c>
      <c r="F1075" t="s">
        <v>39</v>
      </c>
      <c r="G1075" t="s">
        <v>26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P1075">
        <v>72</v>
      </c>
    </row>
    <row r="1076" spans="1:16">
      <c r="A1076" t="s">
        <v>1104</v>
      </c>
      <c r="B1076" s="2">
        <v>45727</v>
      </c>
      <c r="C1076" t="s">
        <v>723</v>
      </c>
      <c r="D1076" t="s">
        <v>18</v>
      </c>
      <c r="E1076" t="s">
        <v>24</v>
      </c>
      <c r="F1076" t="s">
        <v>25</v>
      </c>
      <c r="G1076" t="s">
        <v>26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72.2</v>
      </c>
    </row>
    <row r="1077" spans="1:16">
      <c r="A1077" t="s">
        <v>1105</v>
      </c>
      <c r="B1077" s="2">
        <v>45799</v>
      </c>
      <c r="C1077" t="s">
        <v>723</v>
      </c>
      <c r="D1077" t="s">
        <v>28</v>
      </c>
      <c r="E1077" t="s">
        <v>24</v>
      </c>
      <c r="F1077" t="s">
        <v>39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</row>
    <row r="1078" spans="1:16">
      <c r="A1078" t="s">
        <v>1106</v>
      </c>
      <c r="B1078" s="2">
        <v>45710</v>
      </c>
      <c r="C1078" t="s">
        <v>723</v>
      </c>
      <c r="D1078" t="s">
        <v>32</v>
      </c>
      <c r="E1078" t="s">
        <v>19</v>
      </c>
      <c r="F1078" t="s">
        <v>25</v>
      </c>
      <c r="G1078" t="s">
        <v>26</v>
      </c>
      <c r="H1078">
        <v>1</v>
      </c>
      <c r="I1078">
        <v>1</v>
      </c>
      <c r="J1078">
        <v>1</v>
      </c>
      <c r="K1078">
        <v>1</v>
      </c>
      <c r="L1078">
        <v>331.53</v>
      </c>
      <c r="M1078">
        <v>2</v>
      </c>
      <c r="N1078">
        <v>0</v>
      </c>
      <c r="O1078">
        <v>4</v>
      </c>
      <c r="P1078">
        <v>56.8</v>
      </c>
    </row>
    <row r="1079" spans="1:16">
      <c r="A1079" t="s">
        <v>1107</v>
      </c>
      <c r="B1079" s="2">
        <v>45670</v>
      </c>
      <c r="C1079" t="s">
        <v>723</v>
      </c>
      <c r="D1079" t="s">
        <v>28</v>
      </c>
      <c r="E1079" t="s">
        <v>24</v>
      </c>
      <c r="F1079" t="s">
        <v>29</v>
      </c>
      <c r="G1079" t="s">
        <v>21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P1079">
        <v>62.5</v>
      </c>
    </row>
    <row r="1080" spans="1:16">
      <c r="A1080" t="s">
        <v>1108</v>
      </c>
      <c r="B1080" s="2">
        <v>45796</v>
      </c>
      <c r="C1080" t="s">
        <v>723</v>
      </c>
      <c r="D1080" t="s">
        <v>32</v>
      </c>
      <c r="E1080" t="s">
        <v>24</v>
      </c>
      <c r="F1080" t="s">
        <v>25</v>
      </c>
      <c r="G1080" t="s">
        <v>26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P1080">
        <v>63.4</v>
      </c>
    </row>
    <row r="1081" spans="1:16">
      <c r="A1081" t="s">
        <v>1109</v>
      </c>
      <c r="B1081" s="2">
        <v>45724</v>
      </c>
      <c r="C1081" t="s">
        <v>723</v>
      </c>
      <c r="D1081" t="s">
        <v>18</v>
      </c>
      <c r="E1081" t="s">
        <v>34</v>
      </c>
      <c r="F1081" t="s">
        <v>25</v>
      </c>
      <c r="G1081" t="s">
        <v>21</v>
      </c>
      <c r="H1081">
        <v>1</v>
      </c>
      <c r="I1081">
        <v>1</v>
      </c>
      <c r="J1081">
        <v>1</v>
      </c>
      <c r="K1081">
        <v>1</v>
      </c>
      <c r="L1081">
        <v>774.78</v>
      </c>
      <c r="M1081">
        <v>0</v>
      </c>
      <c r="N1081">
        <v>0</v>
      </c>
      <c r="O1081">
        <v>3</v>
      </c>
      <c r="P1081">
        <v>46.8</v>
      </c>
    </row>
    <row r="1082" spans="1:16">
      <c r="A1082" t="s">
        <v>1110</v>
      </c>
      <c r="B1082" s="2">
        <v>45767</v>
      </c>
      <c r="C1082" t="s">
        <v>723</v>
      </c>
      <c r="D1082" t="s">
        <v>32</v>
      </c>
      <c r="E1082" t="s">
        <v>24</v>
      </c>
      <c r="F1082" t="s">
        <v>25</v>
      </c>
      <c r="G1082" t="s">
        <v>26</v>
      </c>
      <c r="H1082">
        <v>1</v>
      </c>
      <c r="I1082">
        <v>1</v>
      </c>
      <c r="J1082">
        <v>1</v>
      </c>
      <c r="K1082">
        <v>1</v>
      </c>
      <c r="L1082">
        <v>422.02</v>
      </c>
      <c r="M1082">
        <v>0</v>
      </c>
      <c r="N1082">
        <v>0</v>
      </c>
      <c r="O1082">
        <v>8</v>
      </c>
      <c r="P1082">
        <v>86.5</v>
      </c>
    </row>
    <row r="1083" spans="1:16">
      <c r="A1083" t="s">
        <v>1111</v>
      </c>
      <c r="B1083" s="2">
        <v>45785</v>
      </c>
      <c r="C1083" t="s">
        <v>723</v>
      </c>
      <c r="D1083" t="s">
        <v>23</v>
      </c>
      <c r="E1083" t="s">
        <v>24</v>
      </c>
      <c r="F1083" t="s">
        <v>20</v>
      </c>
      <c r="G1083" t="s">
        <v>21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P1083">
        <v>75.099999999999994</v>
      </c>
    </row>
    <row r="1084" spans="1:16">
      <c r="A1084" t="s">
        <v>1112</v>
      </c>
      <c r="B1084" s="2">
        <v>45787</v>
      </c>
      <c r="C1084" t="s">
        <v>723</v>
      </c>
      <c r="D1084" t="s">
        <v>32</v>
      </c>
      <c r="E1084" t="s">
        <v>24</v>
      </c>
      <c r="F1084" t="s">
        <v>25</v>
      </c>
      <c r="G1084" t="s">
        <v>21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P1084">
        <v>64.5</v>
      </c>
    </row>
    <row r="1085" spans="1:16">
      <c r="A1085" t="s">
        <v>1113</v>
      </c>
      <c r="B1085" s="2">
        <v>45744</v>
      </c>
      <c r="C1085" t="s">
        <v>723</v>
      </c>
      <c r="D1085" t="s">
        <v>28</v>
      </c>
      <c r="E1085" t="s">
        <v>24</v>
      </c>
      <c r="F1085" t="s">
        <v>25</v>
      </c>
      <c r="G1085" t="s">
        <v>26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54.2</v>
      </c>
    </row>
    <row r="1086" spans="1:16">
      <c r="A1086" t="s">
        <v>1114</v>
      </c>
      <c r="B1086" s="2">
        <v>45777</v>
      </c>
      <c r="C1086" t="s">
        <v>723</v>
      </c>
      <c r="D1086" t="s">
        <v>28</v>
      </c>
      <c r="E1086" t="s">
        <v>24</v>
      </c>
      <c r="F1086" t="s">
        <v>29</v>
      </c>
      <c r="G1086" t="s">
        <v>30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0</v>
      </c>
      <c r="P1086">
        <v>84.1</v>
      </c>
    </row>
    <row r="1087" spans="1:16">
      <c r="A1087" t="s">
        <v>1115</v>
      </c>
      <c r="B1087" s="2">
        <v>45696</v>
      </c>
      <c r="C1087" t="s">
        <v>723</v>
      </c>
      <c r="D1087" t="s">
        <v>18</v>
      </c>
      <c r="E1087" t="s">
        <v>24</v>
      </c>
      <c r="F1087" t="s">
        <v>25</v>
      </c>
      <c r="G1087" t="s">
        <v>21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P1087">
        <v>49.1</v>
      </c>
    </row>
    <row r="1088" spans="1:16">
      <c r="A1088" t="s">
        <v>1116</v>
      </c>
      <c r="B1088" s="2">
        <v>45723</v>
      </c>
      <c r="C1088" t="s">
        <v>723</v>
      </c>
      <c r="D1088" t="s">
        <v>32</v>
      </c>
      <c r="E1088" t="s">
        <v>24</v>
      </c>
      <c r="F1088" t="s">
        <v>39</v>
      </c>
      <c r="G1088" t="s">
        <v>30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92.7</v>
      </c>
    </row>
    <row r="1089" spans="1:16">
      <c r="A1089" t="s">
        <v>1117</v>
      </c>
      <c r="B1089" s="2">
        <v>45798</v>
      </c>
      <c r="C1089" t="s">
        <v>723</v>
      </c>
      <c r="D1089" t="s">
        <v>32</v>
      </c>
      <c r="E1089" t="s">
        <v>24</v>
      </c>
      <c r="F1089" t="s">
        <v>41</v>
      </c>
      <c r="G1089" t="s">
        <v>21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58.7</v>
      </c>
    </row>
    <row r="1090" spans="1:16">
      <c r="A1090" t="s">
        <v>1118</v>
      </c>
      <c r="B1090" s="2">
        <v>45759</v>
      </c>
      <c r="C1090" t="s">
        <v>723</v>
      </c>
      <c r="D1090" t="s">
        <v>32</v>
      </c>
      <c r="E1090" t="s">
        <v>24</v>
      </c>
      <c r="F1090" t="s">
        <v>41</v>
      </c>
      <c r="G1090" t="s">
        <v>26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P1090">
        <v>59.3</v>
      </c>
    </row>
    <row r="1091" spans="1:16">
      <c r="A1091" t="s">
        <v>1119</v>
      </c>
      <c r="B1091" s="2">
        <v>45690</v>
      </c>
      <c r="C1091" t="s">
        <v>723</v>
      </c>
      <c r="D1091" t="s">
        <v>32</v>
      </c>
      <c r="E1091" t="s">
        <v>24</v>
      </c>
      <c r="F1091" t="s">
        <v>29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62</v>
      </c>
    </row>
    <row r="1092" spans="1:16">
      <c r="A1092" t="s">
        <v>1120</v>
      </c>
      <c r="B1092" s="2">
        <v>45769</v>
      </c>
      <c r="C1092" t="s">
        <v>723</v>
      </c>
      <c r="D1092" t="s">
        <v>18</v>
      </c>
      <c r="E1092" t="s">
        <v>34</v>
      </c>
      <c r="F1092" t="s">
        <v>39</v>
      </c>
      <c r="G1092" t="s">
        <v>26</v>
      </c>
      <c r="H1092">
        <v>1</v>
      </c>
      <c r="I1092">
        <v>1</v>
      </c>
      <c r="J1092">
        <v>1</v>
      </c>
      <c r="K1092">
        <v>0</v>
      </c>
      <c r="L1092">
        <v>0</v>
      </c>
      <c r="M1092">
        <v>1</v>
      </c>
      <c r="N1092">
        <v>0</v>
      </c>
      <c r="P1092">
        <v>60.3</v>
      </c>
    </row>
    <row r="1093" spans="1:16">
      <c r="A1093" t="s">
        <v>1121</v>
      </c>
      <c r="B1093" s="2">
        <v>45696</v>
      </c>
      <c r="C1093" t="s">
        <v>723</v>
      </c>
      <c r="D1093" t="s">
        <v>18</v>
      </c>
      <c r="E1093" t="s">
        <v>24</v>
      </c>
      <c r="F1093" t="s">
        <v>41</v>
      </c>
      <c r="G1093" t="s">
        <v>21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70.5</v>
      </c>
    </row>
    <row r="1094" spans="1:16">
      <c r="A1094" t="s">
        <v>1122</v>
      </c>
      <c r="B1094" s="2">
        <v>45681</v>
      </c>
      <c r="C1094" t="s">
        <v>723</v>
      </c>
      <c r="D1094" t="s">
        <v>32</v>
      </c>
      <c r="E1094" t="s">
        <v>19</v>
      </c>
      <c r="F1094" t="s">
        <v>20</v>
      </c>
      <c r="G1094" t="s">
        <v>26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36.799999999999997</v>
      </c>
    </row>
    <row r="1095" spans="1:16">
      <c r="A1095" t="s">
        <v>1123</v>
      </c>
      <c r="B1095" s="2">
        <v>45789</v>
      </c>
      <c r="C1095" t="s">
        <v>723</v>
      </c>
      <c r="D1095" t="s">
        <v>32</v>
      </c>
      <c r="E1095" t="s">
        <v>24</v>
      </c>
      <c r="F1095" t="s">
        <v>29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P1095">
        <v>73.2</v>
      </c>
    </row>
    <row r="1096" spans="1:16">
      <c r="A1096" t="s">
        <v>1124</v>
      </c>
      <c r="B1096" s="2">
        <v>45746</v>
      </c>
      <c r="C1096" t="s">
        <v>723</v>
      </c>
      <c r="D1096" t="s">
        <v>18</v>
      </c>
      <c r="E1096" t="s">
        <v>24</v>
      </c>
      <c r="F1096" t="s">
        <v>25</v>
      </c>
      <c r="G1096" t="s">
        <v>21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P1096">
        <v>70.099999999999994</v>
      </c>
    </row>
    <row r="1097" spans="1:16">
      <c r="A1097" t="s">
        <v>1125</v>
      </c>
      <c r="B1097" s="2">
        <v>45659</v>
      </c>
      <c r="C1097" t="s">
        <v>723</v>
      </c>
      <c r="D1097" t="s">
        <v>32</v>
      </c>
      <c r="E1097" t="s">
        <v>19</v>
      </c>
      <c r="F1097" t="s">
        <v>29</v>
      </c>
      <c r="G1097" t="s">
        <v>21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76.400000000000006</v>
      </c>
    </row>
    <row r="1098" spans="1:16">
      <c r="A1098" t="s">
        <v>1126</v>
      </c>
      <c r="B1098" s="2">
        <v>45737</v>
      </c>
      <c r="C1098" t="s">
        <v>723</v>
      </c>
      <c r="D1098" t="s">
        <v>32</v>
      </c>
      <c r="E1098" t="s">
        <v>34</v>
      </c>
      <c r="F1098" t="s">
        <v>20</v>
      </c>
      <c r="G1098" t="s">
        <v>21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46.4</v>
      </c>
    </row>
    <row r="1099" spans="1:16">
      <c r="A1099" t="s">
        <v>1127</v>
      </c>
      <c r="B1099" s="2">
        <v>45682</v>
      </c>
      <c r="C1099" t="s">
        <v>723</v>
      </c>
      <c r="D1099" t="s">
        <v>23</v>
      </c>
      <c r="E1099" t="s">
        <v>24</v>
      </c>
      <c r="F1099" t="s">
        <v>25</v>
      </c>
      <c r="G1099" t="s">
        <v>26</v>
      </c>
      <c r="H1099">
        <v>1</v>
      </c>
      <c r="I1099">
        <v>1</v>
      </c>
      <c r="J1099">
        <v>1</v>
      </c>
      <c r="K1099">
        <v>0</v>
      </c>
      <c r="L1099">
        <v>0</v>
      </c>
      <c r="M1099">
        <v>1</v>
      </c>
      <c r="N1099">
        <v>0</v>
      </c>
      <c r="P1099">
        <v>81.3</v>
      </c>
    </row>
    <row r="1100" spans="1:16">
      <c r="A1100" t="s">
        <v>1128</v>
      </c>
      <c r="B1100" s="2">
        <v>45669</v>
      </c>
      <c r="C1100" t="s">
        <v>723</v>
      </c>
      <c r="D1100" t="s">
        <v>32</v>
      </c>
      <c r="E1100" t="s">
        <v>34</v>
      </c>
      <c r="F1100" t="s">
        <v>41</v>
      </c>
      <c r="G1100" t="s">
        <v>26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P1100">
        <v>55.3</v>
      </c>
    </row>
    <row r="1101" spans="1:16">
      <c r="A1101" t="s">
        <v>1129</v>
      </c>
      <c r="B1101" s="2">
        <v>45734</v>
      </c>
      <c r="C1101" t="s">
        <v>723</v>
      </c>
      <c r="D1101" t="s">
        <v>28</v>
      </c>
      <c r="E1101" t="s">
        <v>19</v>
      </c>
      <c r="F1101" t="s">
        <v>39</v>
      </c>
      <c r="G1101" t="s">
        <v>26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44.7</v>
      </c>
    </row>
    <row r="1102" spans="1:16">
      <c r="A1102" t="s">
        <v>1130</v>
      </c>
      <c r="B1102" s="2">
        <v>45742</v>
      </c>
      <c r="C1102" t="s">
        <v>723</v>
      </c>
      <c r="D1102" t="s">
        <v>28</v>
      </c>
      <c r="E1102" t="s">
        <v>24</v>
      </c>
      <c r="F1102" t="s">
        <v>29</v>
      </c>
      <c r="G1102" t="s">
        <v>21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67.2</v>
      </c>
    </row>
    <row r="1103" spans="1:16">
      <c r="A1103" t="s">
        <v>1131</v>
      </c>
      <c r="B1103" s="2">
        <v>45766</v>
      </c>
      <c r="C1103" t="s">
        <v>723</v>
      </c>
      <c r="D1103" t="s">
        <v>18</v>
      </c>
      <c r="E1103" t="s">
        <v>24</v>
      </c>
      <c r="F1103" t="s">
        <v>29</v>
      </c>
      <c r="G1103" t="s">
        <v>21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6">
      <c r="A1104" t="s">
        <v>1132</v>
      </c>
      <c r="B1104" s="2">
        <v>45764</v>
      </c>
      <c r="C1104" t="s">
        <v>723</v>
      </c>
      <c r="D1104" t="s">
        <v>28</v>
      </c>
      <c r="E1104" t="s">
        <v>24</v>
      </c>
      <c r="F1104" t="s">
        <v>25</v>
      </c>
      <c r="G1104" t="s">
        <v>30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1</v>
      </c>
      <c r="N1104">
        <v>0</v>
      </c>
      <c r="P1104">
        <v>70.8</v>
      </c>
    </row>
    <row r="1105" spans="1:16">
      <c r="A1105" t="s">
        <v>1133</v>
      </c>
      <c r="B1105" s="2">
        <v>45803</v>
      </c>
      <c r="C1105" t="s">
        <v>723</v>
      </c>
      <c r="D1105" t="s">
        <v>32</v>
      </c>
      <c r="E1105" t="s">
        <v>24</v>
      </c>
      <c r="F1105" t="s">
        <v>29</v>
      </c>
      <c r="G1105" t="s">
        <v>26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71.3</v>
      </c>
    </row>
    <row r="1106" spans="1:16">
      <c r="A1106" t="s">
        <v>1134</v>
      </c>
      <c r="B1106" s="2">
        <v>45761</v>
      </c>
      <c r="C1106" t="s">
        <v>723</v>
      </c>
      <c r="D1106" t="s">
        <v>18</v>
      </c>
      <c r="E1106" t="s">
        <v>24</v>
      </c>
      <c r="F1106" t="s">
        <v>41</v>
      </c>
      <c r="G1106" t="s">
        <v>30</v>
      </c>
      <c r="H1106">
        <v>1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P1106">
        <v>69.400000000000006</v>
      </c>
    </row>
    <row r="1107" spans="1:16">
      <c r="A1107" t="s">
        <v>1135</v>
      </c>
      <c r="B1107" s="2">
        <v>45680</v>
      </c>
      <c r="C1107" t="s">
        <v>723</v>
      </c>
      <c r="D1107" t="s">
        <v>32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P1107">
        <v>58.9</v>
      </c>
    </row>
    <row r="1108" spans="1:16">
      <c r="A1108" t="s">
        <v>1136</v>
      </c>
      <c r="B1108" s="2">
        <v>45663</v>
      </c>
      <c r="C1108" t="s">
        <v>723</v>
      </c>
      <c r="D1108" t="s">
        <v>28</v>
      </c>
      <c r="E1108" t="s">
        <v>24</v>
      </c>
      <c r="F1108" t="s">
        <v>39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P1108">
        <v>70.7</v>
      </c>
    </row>
    <row r="1109" spans="1:16">
      <c r="A1109" t="s">
        <v>1137</v>
      </c>
      <c r="B1109" s="2">
        <v>45808</v>
      </c>
      <c r="C1109" t="s">
        <v>723</v>
      </c>
      <c r="D1109" t="s">
        <v>23</v>
      </c>
      <c r="E1109" t="s">
        <v>24</v>
      </c>
      <c r="F1109" t="s">
        <v>20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60.5</v>
      </c>
    </row>
    <row r="1110" spans="1:16">
      <c r="A1110" t="s">
        <v>1138</v>
      </c>
      <c r="B1110" s="2">
        <v>45796</v>
      </c>
      <c r="C1110" t="s">
        <v>723</v>
      </c>
      <c r="D1110" t="s">
        <v>18</v>
      </c>
      <c r="E1110" t="s">
        <v>24</v>
      </c>
      <c r="F1110" t="s">
        <v>25</v>
      </c>
      <c r="G1110" t="s">
        <v>21</v>
      </c>
      <c r="H1110">
        <v>1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P1110">
        <v>77.3</v>
      </c>
    </row>
    <row r="1111" spans="1:16">
      <c r="A1111" t="s">
        <v>1139</v>
      </c>
      <c r="B1111" s="2">
        <v>45713</v>
      </c>
      <c r="C1111" t="s">
        <v>723</v>
      </c>
      <c r="D1111" t="s">
        <v>18</v>
      </c>
      <c r="E1111" t="s">
        <v>24</v>
      </c>
      <c r="F1111" t="s">
        <v>25</v>
      </c>
      <c r="G1111" t="s">
        <v>26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P1111">
        <v>39.5</v>
      </c>
    </row>
    <row r="1112" spans="1:16">
      <c r="A1112" t="s">
        <v>1140</v>
      </c>
      <c r="B1112" s="2">
        <v>45667</v>
      </c>
      <c r="C1112" t="s">
        <v>723</v>
      </c>
      <c r="D1112" t="s">
        <v>32</v>
      </c>
      <c r="E1112" t="s">
        <v>34</v>
      </c>
      <c r="F1112" t="s">
        <v>25</v>
      </c>
      <c r="G1112" t="s">
        <v>21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P1112">
        <v>68.099999999999994</v>
      </c>
    </row>
    <row r="1113" spans="1:16">
      <c r="A1113" t="s">
        <v>1141</v>
      </c>
      <c r="B1113" s="2">
        <v>45790</v>
      </c>
      <c r="C1113" t="s">
        <v>723</v>
      </c>
      <c r="D1113" t="s">
        <v>18</v>
      </c>
      <c r="E1113" t="s">
        <v>34</v>
      </c>
      <c r="F1113" t="s">
        <v>29</v>
      </c>
      <c r="G1113" t="s">
        <v>26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80.3</v>
      </c>
    </row>
    <row r="1114" spans="1:16">
      <c r="A1114" t="s">
        <v>1142</v>
      </c>
      <c r="B1114" s="2">
        <v>45774</v>
      </c>
      <c r="C1114" t="s">
        <v>723</v>
      </c>
      <c r="D1114" t="s">
        <v>23</v>
      </c>
      <c r="E1114" t="s">
        <v>19</v>
      </c>
      <c r="F1114" t="s">
        <v>25</v>
      </c>
      <c r="G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77.7</v>
      </c>
    </row>
    <row r="1115" spans="1:16">
      <c r="A1115" t="s">
        <v>1143</v>
      </c>
      <c r="B1115" s="2">
        <v>45750</v>
      </c>
      <c r="C1115" t="s">
        <v>723</v>
      </c>
      <c r="D1115" t="s">
        <v>32</v>
      </c>
      <c r="E1115" t="s">
        <v>24</v>
      </c>
      <c r="F1115" t="s">
        <v>25</v>
      </c>
      <c r="G1115" t="s">
        <v>26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P1115">
        <v>66.2</v>
      </c>
    </row>
    <row r="1116" spans="1:16">
      <c r="A1116" t="s">
        <v>1144</v>
      </c>
      <c r="B1116" s="2">
        <v>45742</v>
      </c>
      <c r="C1116" t="s">
        <v>723</v>
      </c>
      <c r="D1116" t="s">
        <v>32</v>
      </c>
      <c r="E1116" t="s">
        <v>24</v>
      </c>
      <c r="F1116" t="s">
        <v>25</v>
      </c>
      <c r="G1116" t="s">
        <v>26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1</v>
      </c>
      <c r="N1116">
        <v>0</v>
      </c>
      <c r="P1116">
        <v>43.9</v>
      </c>
    </row>
    <row r="1117" spans="1:16">
      <c r="A1117" t="s">
        <v>1145</v>
      </c>
      <c r="B1117" s="2">
        <v>45688</v>
      </c>
      <c r="C1117" t="s">
        <v>723</v>
      </c>
      <c r="D1117" t="s">
        <v>32</v>
      </c>
      <c r="E1117" t="s">
        <v>24</v>
      </c>
      <c r="F1117" t="s">
        <v>25</v>
      </c>
      <c r="G1117" t="s">
        <v>21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2</v>
      </c>
      <c r="N1117">
        <v>0</v>
      </c>
      <c r="P1117">
        <v>59.1</v>
      </c>
    </row>
    <row r="1118" spans="1:16">
      <c r="A1118" t="s">
        <v>1146</v>
      </c>
      <c r="B1118" s="2">
        <v>45682</v>
      </c>
      <c r="C1118" t="s">
        <v>723</v>
      </c>
      <c r="D1118" t="s">
        <v>32</v>
      </c>
      <c r="E1118" t="s">
        <v>24</v>
      </c>
      <c r="F1118" t="s">
        <v>41</v>
      </c>
      <c r="G1118" t="s">
        <v>26</v>
      </c>
      <c r="H1118">
        <v>1</v>
      </c>
      <c r="I1118">
        <v>1</v>
      </c>
      <c r="J1118">
        <v>1</v>
      </c>
      <c r="K1118">
        <v>1</v>
      </c>
      <c r="L1118">
        <v>416.94</v>
      </c>
      <c r="M1118">
        <v>1</v>
      </c>
      <c r="N1118">
        <v>0</v>
      </c>
      <c r="O1118">
        <v>11</v>
      </c>
      <c r="P1118">
        <v>67</v>
      </c>
    </row>
    <row r="1119" spans="1:16">
      <c r="A1119" t="s">
        <v>1147</v>
      </c>
      <c r="B1119" s="2">
        <v>45694</v>
      </c>
      <c r="C1119" t="s">
        <v>723</v>
      </c>
      <c r="D1119" t="s">
        <v>23</v>
      </c>
      <c r="E1119" t="s">
        <v>24</v>
      </c>
      <c r="F1119" t="s">
        <v>39</v>
      </c>
      <c r="G1119" t="s">
        <v>21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47.9</v>
      </c>
    </row>
    <row r="1120" spans="1:16">
      <c r="A1120" t="s">
        <v>1148</v>
      </c>
      <c r="B1120" s="2">
        <v>45726</v>
      </c>
      <c r="C1120" t="s">
        <v>723</v>
      </c>
      <c r="D1120" t="s">
        <v>28</v>
      </c>
      <c r="E1120" t="s">
        <v>24</v>
      </c>
      <c r="F1120" t="s">
        <v>29</v>
      </c>
      <c r="G1120" t="s">
        <v>26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41.5</v>
      </c>
    </row>
    <row r="1121" spans="1:16">
      <c r="A1121" t="s">
        <v>1149</v>
      </c>
      <c r="B1121" s="2">
        <v>45683</v>
      </c>
      <c r="C1121" t="s">
        <v>723</v>
      </c>
      <c r="D1121" t="s">
        <v>23</v>
      </c>
      <c r="E1121" t="s">
        <v>24</v>
      </c>
      <c r="F1121" t="s">
        <v>25</v>
      </c>
      <c r="G1121" t="s">
        <v>21</v>
      </c>
      <c r="H1121">
        <v>1</v>
      </c>
      <c r="I1121">
        <v>1</v>
      </c>
      <c r="J1121">
        <v>1</v>
      </c>
      <c r="K1121">
        <v>0</v>
      </c>
      <c r="L1121">
        <v>0</v>
      </c>
      <c r="M1121">
        <v>3</v>
      </c>
      <c r="N1121">
        <v>0</v>
      </c>
      <c r="P1121">
        <v>30.6</v>
      </c>
    </row>
    <row r="1122" spans="1:16">
      <c r="A1122" t="s">
        <v>1150</v>
      </c>
      <c r="B1122" s="2">
        <v>45658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91.5</v>
      </c>
    </row>
    <row r="1123" spans="1:16">
      <c r="A1123" t="s">
        <v>1151</v>
      </c>
      <c r="B1123" s="2">
        <v>45775</v>
      </c>
      <c r="C1123" t="s">
        <v>723</v>
      </c>
      <c r="D1123" t="s">
        <v>18</v>
      </c>
      <c r="E1123" t="s">
        <v>19</v>
      </c>
      <c r="F1123" t="s">
        <v>41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80.8</v>
      </c>
    </row>
    <row r="1124" spans="1:16">
      <c r="A1124" t="s">
        <v>1152</v>
      </c>
      <c r="B1124" s="2">
        <v>45751</v>
      </c>
      <c r="C1124" t="s">
        <v>723</v>
      </c>
      <c r="D1124" t="s">
        <v>18</v>
      </c>
      <c r="E1124" t="s">
        <v>24</v>
      </c>
      <c r="F1124" t="s">
        <v>25</v>
      </c>
      <c r="G1124" t="s">
        <v>30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68.099999999999994</v>
      </c>
    </row>
    <row r="1125" spans="1:16">
      <c r="A1125" t="s">
        <v>1153</v>
      </c>
      <c r="B1125" s="2">
        <v>45718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80.3</v>
      </c>
    </row>
    <row r="1126" spans="1:16">
      <c r="A1126" t="s">
        <v>1154</v>
      </c>
      <c r="B1126" s="2">
        <v>45735</v>
      </c>
      <c r="C1126" t="s">
        <v>723</v>
      </c>
      <c r="D1126" t="s">
        <v>32</v>
      </c>
      <c r="E1126" t="s">
        <v>34</v>
      </c>
      <c r="F1126" t="s">
        <v>25</v>
      </c>
      <c r="G1126" t="s">
        <v>21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44.4</v>
      </c>
    </row>
    <row r="1127" spans="1:16">
      <c r="A1127" t="s">
        <v>1155</v>
      </c>
      <c r="B1127" s="2">
        <v>45677</v>
      </c>
      <c r="C1127" t="s">
        <v>723</v>
      </c>
      <c r="D1127" t="s">
        <v>32</v>
      </c>
      <c r="E1127" t="s">
        <v>19</v>
      </c>
      <c r="F1127" t="s">
        <v>25</v>
      </c>
      <c r="G1127" t="s">
        <v>21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51.9</v>
      </c>
    </row>
    <row r="1128" spans="1:16">
      <c r="A1128" t="s">
        <v>1156</v>
      </c>
      <c r="B1128" s="2">
        <v>45750</v>
      </c>
      <c r="C1128" t="s">
        <v>723</v>
      </c>
      <c r="D1128" t="s">
        <v>28</v>
      </c>
      <c r="E1128" t="s">
        <v>24</v>
      </c>
      <c r="F1128" t="s">
        <v>29</v>
      </c>
      <c r="G1128" t="s">
        <v>26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49.8</v>
      </c>
    </row>
    <row r="1129" spans="1:16">
      <c r="A1129" t="s">
        <v>1157</v>
      </c>
      <c r="B1129" s="2">
        <v>45668</v>
      </c>
      <c r="C1129" t="s">
        <v>723</v>
      </c>
      <c r="D1129" t="s">
        <v>28</v>
      </c>
      <c r="E1129" t="s">
        <v>19</v>
      </c>
      <c r="F1129" t="s">
        <v>41</v>
      </c>
      <c r="G1129" t="s">
        <v>26</v>
      </c>
      <c r="H1129">
        <v>1</v>
      </c>
      <c r="I1129">
        <v>1</v>
      </c>
      <c r="J1129">
        <v>1</v>
      </c>
      <c r="K1129">
        <v>0</v>
      </c>
      <c r="L1129">
        <v>0</v>
      </c>
      <c r="M1129">
        <v>3</v>
      </c>
      <c r="N1129">
        <v>0</v>
      </c>
      <c r="P1129">
        <v>62.1</v>
      </c>
    </row>
    <row r="1130" spans="1:16">
      <c r="A1130" t="s">
        <v>1158</v>
      </c>
      <c r="B1130" s="2">
        <v>45690</v>
      </c>
      <c r="C1130" t="s">
        <v>723</v>
      </c>
      <c r="D1130" t="s">
        <v>23</v>
      </c>
      <c r="E1130" t="s">
        <v>19</v>
      </c>
      <c r="F1130" t="s">
        <v>41</v>
      </c>
      <c r="G1130" t="s">
        <v>21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91.3</v>
      </c>
    </row>
    <row r="1131" spans="1:16">
      <c r="A1131" t="s">
        <v>1159</v>
      </c>
      <c r="B1131" s="2">
        <v>45748</v>
      </c>
      <c r="C1131" t="s">
        <v>723</v>
      </c>
      <c r="D1131" t="s">
        <v>32</v>
      </c>
      <c r="E1131" t="s">
        <v>24</v>
      </c>
      <c r="F1131" t="s">
        <v>25</v>
      </c>
      <c r="G1131" t="s">
        <v>21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66.400000000000006</v>
      </c>
    </row>
    <row r="1132" spans="1:16">
      <c r="A1132" t="s">
        <v>1160</v>
      </c>
      <c r="B1132" s="2">
        <v>45799</v>
      </c>
      <c r="C1132" t="s">
        <v>723</v>
      </c>
      <c r="D1132" t="s">
        <v>28</v>
      </c>
      <c r="E1132" t="s">
        <v>24</v>
      </c>
      <c r="F1132" t="s">
        <v>25</v>
      </c>
      <c r="G1132" t="s">
        <v>21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41.5</v>
      </c>
    </row>
    <row r="1133" spans="1:16">
      <c r="A1133" t="s">
        <v>1161</v>
      </c>
      <c r="B1133" s="2">
        <v>45708</v>
      </c>
      <c r="C1133" t="s">
        <v>723</v>
      </c>
      <c r="D1133" t="s">
        <v>23</v>
      </c>
      <c r="E1133" t="s">
        <v>24</v>
      </c>
      <c r="F1133" t="s">
        <v>25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77.099999999999994</v>
      </c>
    </row>
    <row r="1134" spans="1:16">
      <c r="A1134" t="s">
        <v>1162</v>
      </c>
      <c r="B1134" s="2">
        <v>45737</v>
      </c>
      <c r="C1134" t="s">
        <v>723</v>
      </c>
      <c r="D1134" t="s">
        <v>23</v>
      </c>
      <c r="E1134" t="s">
        <v>24</v>
      </c>
      <c r="F1134" t="s">
        <v>25</v>
      </c>
      <c r="G1134" t="s">
        <v>26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P1134">
        <v>63.2</v>
      </c>
    </row>
    <row r="1135" spans="1:16">
      <c r="A1135" t="s">
        <v>1163</v>
      </c>
      <c r="B1135" s="2">
        <v>45778</v>
      </c>
      <c r="C1135" t="s">
        <v>723</v>
      </c>
      <c r="D1135" t="s">
        <v>23</v>
      </c>
      <c r="E1135" t="s">
        <v>19</v>
      </c>
      <c r="F1135" t="s">
        <v>39</v>
      </c>
      <c r="G1135" t="s">
        <v>26</v>
      </c>
      <c r="H1135">
        <v>1</v>
      </c>
      <c r="I1135">
        <v>1</v>
      </c>
      <c r="J1135">
        <v>1</v>
      </c>
      <c r="K1135">
        <v>0</v>
      </c>
      <c r="L1135">
        <v>0</v>
      </c>
      <c r="M1135">
        <v>3</v>
      </c>
      <c r="N1135">
        <v>0</v>
      </c>
      <c r="P1135">
        <v>75.7</v>
      </c>
    </row>
    <row r="1136" spans="1:16">
      <c r="A1136" t="s">
        <v>1164</v>
      </c>
      <c r="B1136" s="2">
        <v>45663</v>
      </c>
      <c r="C1136" t="s">
        <v>723</v>
      </c>
      <c r="D1136" t="s">
        <v>23</v>
      </c>
      <c r="E1136" t="s">
        <v>24</v>
      </c>
      <c r="F1136" t="s">
        <v>29</v>
      </c>
      <c r="G1136" t="s">
        <v>21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62.9</v>
      </c>
    </row>
    <row r="1137" spans="1:16">
      <c r="A1137" t="s">
        <v>1165</v>
      </c>
      <c r="B1137" s="2">
        <v>45759</v>
      </c>
      <c r="C1137" t="s">
        <v>723</v>
      </c>
      <c r="D1137" t="s">
        <v>18</v>
      </c>
      <c r="E1137" t="s">
        <v>19</v>
      </c>
      <c r="F1137" t="s">
        <v>29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3</v>
      </c>
      <c r="N1137">
        <v>0</v>
      </c>
      <c r="P1137">
        <v>64.599999999999994</v>
      </c>
    </row>
    <row r="1138" spans="1:16">
      <c r="A1138" t="s">
        <v>1166</v>
      </c>
      <c r="B1138" s="2">
        <v>45765</v>
      </c>
      <c r="C1138" t="s">
        <v>723</v>
      </c>
      <c r="D1138" t="s">
        <v>18</v>
      </c>
      <c r="E1138" t="s">
        <v>24</v>
      </c>
      <c r="G1138" t="s">
        <v>21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76.599999999999994</v>
      </c>
    </row>
    <row r="1139" spans="1:16">
      <c r="A1139" t="s">
        <v>1167</v>
      </c>
      <c r="B1139" s="2">
        <v>45740</v>
      </c>
      <c r="C1139" t="s">
        <v>723</v>
      </c>
      <c r="D1139" t="s">
        <v>28</v>
      </c>
      <c r="E1139" t="s">
        <v>24</v>
      </c>
      <c r="F1139" t="s">
        <v>41</v>
      </c>
      <c r="G1139" t="s">
        <v>21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74.8</v>
      </c>
    </row>
    <row r="1140" spans="1:16">
      <c r="A1140" t="s">
        <v>1168</v>
      </c>
      <c r="B1140" s="2">
        <v>45734</v>
      </c>
      <c r="C1140" t="s">
        <v>723</v>
      </c>
      <c r="D1140" t="s">
        <v>28</v>
      </c>
      <c r="E1140" t="s">
        <v>19</v>
      </c>
      <c r="F1140" t="s">
        <v>20</v>
      </c>
      <c r="G1140" t="s">
        <v>30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2</v>
      </c>
      <c r="N1140">
        <v>0</v>
      </c>
      <c r="P1140">
        <v>38.1</v>
      </c>
    </row>
    <row r="1141" spans="1:16">
      <c r="A1141" t="s">
        <v>1169</v>
      </c>
      <c r="B1141" s="2">
        <v>45777</v>
      </c>
      <c r="C1141" t="s">
        <v>723</v>
      </c>
      <c r="D1141" t="s">
        <v>32</v>
      </c>
      <c r="E1141" t="s">
        <v>34</v>
      </c>
      <c r="F1141" t="s">
        <v>29</v>
      </c>
      <c r="G1141" t="s">
        <v>21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60.2</v>
      </c>
    </row>
    <row r="1142" spans="1:16">
      <c r="A1142" t="s">
        <v>1170</v>
      </c>
      <c r="B1142" s="2">
        <v>45682</v>
      </c>
      <c r="C1142" t="s">
        <v>723</v>
      </c>
      <c r="D1142" t="s">
        <v>23</v>
      </c>
      <c r="E1142" t="s">
        <v>24</v>
      </c>
      <c r="F1142" t="s">
        <v>20</v>
      </c>
      <c r="G1142" t="s">
        <v>26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73.5</v>
      </c>
    </row>
    <row r="1143" spans="1:16">
      <c r="A1143" t="s">
        <v>1171</v>
      </c>
      <c r="B1143" s="2">
        <v>45757</v>
      </c>
      <c r="C1143" t="s">
        <v>723</v>
      </c>
      <c r="D1143" t="s">
        <v>32</v>
      </c>
      <c r="E1143" t="s">
        <v>24</v>
      </c>
      <c r="F1143" t="s">
        <v>25</v>
      </c>
      <c r="G1143" t="s">
        <v>26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P1143">
        <v>70.900000000000006</v>
      </c>
    </row>
    <row r="1144" spans="1:16">
      <c r="A1144" t="s">
        <v>1172</v>
      </c>
      <c r="B1144" s="2">
        <v>45667</v>
      </c>
      <c r="C1144" t="s">
        <v>723</v>
      </c>
      <c r="D1144" t="s">
        <v>23</v>
      </c>
      <c r="E1144" t="s">
        <v>24</v>
      </c>
      <c r="F1144" t="s">
        <v>41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63.7</v>
      </c>
    </row>
    <row r="1145" spans="1:16">
      <c r="A1145" t="s">
        <v>1173</v>
      </c>
      <c r="B1145" s="2">
        <v>45699</v>
      </c>
      <c r="C1145" t="s">
        <v>723</v>
      </c>
      <c r="D1145" t="s">
        <v>32</v>
      </c>
      <c r="E1145" t="s">
        <v>24</v>
      </c>
      <c r="F1145" t="s">
        <v>29</v>
      </c>
      <c r="G1145" t="s">
        <v>26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86.5</v>
      </c>
    </row>
    <row r="1146" spans="1:16">
      <c r="A1146" t="s">
        <v>1174</v>
      </c>
      <c r="B1146" s="2">
        <v>45778</v>
      </c>
      <c r="C1146" t="s">
        <v>723</v>
      </c>
      <c r="D1146" t="s">
        <v>28</v>
      </c>
      <c r="E1146" t="s">
        <v>24</v>
      </c>
      <c r="F1146" t="s">
        <v>41</v>
      </c>
      <c r="G1146" t="s">
        <v>21</v>
      </c>
      <c r="H1146">
        <v>1</v>
      </c>
      <c r="I1146">
        <v>1</v>
      </c>
      <c r="J1146">
        <v>1</v>
      </c>
      <c r="K1146">
        <v>1</v>
      </c>
      <c r="L1146">
        <v>921.72</v>
      </c>
      <c r="M1146">
        <v>3</v>
      </c>
      <c r="N1146">
        <v>0</v>
      </c>
      <c r="O1146">
        <v>7</v>
      </c>
      <c r="P1146">
        <v>74.599999999999994</v>
      </c>
    </row>
    <row r="1147" spans="1:16">
      <c r="A1147" t="s">
        <v>1175</v>
      </c>
      <c r="B1147" s="2">
        <v>45675</v>
      </c>
      <c r="C1147" t="s">
        <v>723</v>
      </c>
      <c r="D1147" t="s">
        <v>28</v>
      </c>
      <c r="E1147" t="s">
        <v>24</v>
      </c>
      <c r="F1147" t="s">
        <v>25</v>
      </c>
      <c r="G1147" t="s">
        <v>26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46.6</v>
      </c>
    </row>
    <row r="1148" spans="1:16">
      <c r="A1148" t="s">
        <v>1176</v>
      </c>
      <c r="B1148" s="2">
        <v>45659</v>
      </c>
      <c r="C1148" t="s">
        <v>723</v>
      </c>
      <c r="D1148" t="s">
        <v>18</v>
      </c>
      <c r="E1148" t="s">
        <v>24</v>
      </c>
      <c r="F1148" t="s">
        <v>29</v>
      </c>
      <c r="G1148" t="s">
        <v>26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61.2</v>
      </c>
    </row>
    <row r="1149" spans="1:16">
      <c r="A1149" t="s">
        <v>1177</v>
      </c>
      <c r="B1149" s="2">
        <v>45788</v>
      </c>
      <c r="C1149" t="s">
        <v>723</v>
      </c>
      <c r="D1149" t="s">
        <v>23</v>
      </c>
      <c r="E1149" t="s">
        <v>24</v>
      </c>
      <c r="F1149" t="s">
        <v>25</v>
      </c>
      <c r="G1149" t="s">
        <v>26</v>
      </c>
      <c r="H1149">
        <v>1</v>
      </c>
      <c r="I1149">
        <v>1</v>
      </c>
      <c r="J1149">
        <v>1</v>
      </c>
      <c r="K1149">
        <v>1</v>
      </c>
      <c r="L1149">
        <v>290.39</v>
      </c>
      <c r="M1149">
        <v>0</v>
      </c>
      <c r="N1149">
        <v>0</v>
      </c>
      <c r="O1149">
        <v>4</v>
      </c>
      <c r="P1149">
        <v>54.4</v>
      </c>
    </row>
    <row r="1150" spans="1:16">
      <c r="A1150" t="s">
        <v>1178</v>
      </c>
      <c r="B1150" s="2">
        <v>45738</v>
      </c>
      <c r="C1150" t="s">
        <v>723</v>
      </c>
      <c r="D1150" t="s">
        <v>18</v>
      </c>
      <c r="E1150" t="s">
        <v>24</v>
      </c>
      <c r="F1150" t="s">
        <v>39</v>
      </c>
      <c r="G1150" t="s">
        <v>26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P1150">
        <v>72</v>
      </c>
    </row>
    <row r="1151" spans="1:16">
      <c r="A1151" t="s">
        <v>1179</v>
      </c>
      <c r="B1151" s="2">
        <v>45779</v>
      </c>
      <c r="C1151" t="s">
        <v>723</v>
      </c>
      <c r="D1151" t="s">
        <v>32</v>
      </c>
      <c r="E1151" t="s">
        <v>24</v>
      </c>
      <c r="F1151" t="s">
        <v>41</v>
      </c>
      <c r="G1151" t="s">
        <v>30</v>
      </c>
      <c r="H1151">
        <v>1</v>
      </c>
      <c r="I1151">
        <v>1</v>
      </c>
      <c r="J1151">
        <v>1</v>
      </c>
      <c r="K1151">
        <v>1</v>
      </c>
      <c r="L1151">
        <v>1858.85</v>
      </c>
      <c r="M1151">
        <v>0</v>
      </c>
      <c r="N1151">
        <v>0</v>
      </c>
      <c r="O1151">
        <v>8</v>
      </c>
      <c r="P1151">
        <v>88.6</v>
      </c>
    </row>
    <row r="1152" spans="1:16">
      <c r="A1152" t="s">
        <v>1180</v>
      </c>
      <c r="B1152" s="2">
        <v>45803</v>
      </c>
      <c r="C1152" t="s">
        <v>723</v>
      </c>
      <c r="D1152" t="s">
        <v>28</v>
      </c>
      <c r="E1152" t="s">
        <v>19</v>
      </c>
      <c r="G1152" t="s">
        <v>21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77.599999999999994</v>
      </c>
    </row>
    <row r="1153" spans="1:16">
      <c r="A1153" t="s">
        <v>1181</v>
      </c>
      <c r="B1153" s="2">
        <v>45729</v>
      </c>
      <c r="C1153" t="s">
        <v>723</v>
      </c>
      <c r="D1153" t="s">
        <v>32</v>
      </c>
      <c r="E1153" t="s">
        <v>24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44.3</v>
      </c>
    </row>
    <row r="1154" spans="1:16">
      <c r="A1154" t="s">
        <v>1182</v>
      </c>
      <c r="B1154" s="2">
        <v>45794</v>
      </c>
      <c r="C1154" t="s">
        <v>723</v>
      </c>
      <c r="D1154" t="s">
        <v>32</v>
      </c>
      <c r="E1154" t="s">
        <v>19</v>
      </c>
      <c r="F1154" t="s">
        <v>29</v>
      </c>
      <c r="G1154" t="s">
        <v>26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49</v>
      </c>
    </row>
    <row r="1155" spans="1:16">
      <c r="A1155" t="s">
        <v>1183</v>
      </c>
      <c r="B1155" s="2">
        <v>45729</v>
      </c>
      <c r="C1155" t="s">
        <v>723</v>
      </c>
      <c r="D1155" t="s">
        <v>18</v>
      </c>
      <c r="E1155" t="s">
        <v>19</v>
      </c>
      <c r="F1155" t="s">
        <v>39</v>
      </c>
      <c r="G1155" t="s">
        <v>30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53.9</v>
      </c>
    </row>
    <row r="1156" spans="1:16">
      <c r="A1156" t="s">
        <v>1184</v>
      </c>
      <c r="B1156" s="2">
        <v>45699</v>
      </c>
      <c r="C1156" t="s">
        <v>723</v>
      </c>
      <c r="D1156" t="s">
        <v>28</v>
      </c>
      <c r="E1156" t="s">
        <v>19</v>
      </c>
      <c r="F1156" t="s">
        <v>25</v>
      </c>
      <c r="G1156" t="s">
        <v>21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P1156">
        <v>69</v>
      </c>
    </row>
    <row r="1157" spans="1:16">
      <c r="A1157" t="s">
        <v>1185</v>
      </c>
      <c r="B1157" s="2">
        <v>45717</v>
      </c>
      <c r="C1157" t="s">
        <v>723</v>
      </c>
      <c r="D1157" t="s">
        <v>23</v>
      </c>
      <c r="E1157" t="s">
        <v>24</v>
      </c>
      <c r="F1157" t="s">
        <v>41</v>
      </c>
      <c r="G1157" t="s">
        <v>26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37.4</v>
      </c>
    </row>
    <row r="1158" spans="1:16">
      <c r="A1158" t="s">
        <v>1186</v>
      </c>
      <c r="B1158" s="2">
        <v>45762</v>
      </c>
      <c r="C1158" t="s">
        <v>723</v>
      </c>
      <c r="D1158" t="s">
        <v>23</v>
      </c>
      <c r="E1158" t="s">
        <v>24</v>
      </c>
      <c r="F1158" t="s">
        <v>25</v>
      </c>
      <c r="G1158" t="s">
        <v>21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59</v>
      </c>
    </row>
    <row r="1159" spans="1:16">
      <c r="A1159" t="s">
        <v>1187</v>
      </c>
      <c r="B1159" s="2">
        <v>45690</v>
      </c>
      <c r="C1159" t="s">
        <v>723</v>
      </c>
      <c r="D1159" t="s">
        <v>28</v>
      </c>
      <c r="E1159" t="s">
        <v>24</v>
      </c>
      <c r="F1159" t="s">
        <v>25</v>
      </c>
      <c r="G1159" t="s">
        <v>30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60.8</v>
      </c>
    </row>
    <row r="1160" spans="1:16">
      <c r="A1160" t="s">
        <v>1188</v>
      </c>
      <c r="B1160" s="2">
        <v>45796</v>
      </c>
      <c r="C1160" t="s">
        <v>723</v>
      </c>
      <c r="D1160" t="s">
        <v>32</v>
      </c>
      <c r="E1160" t="s">
        <v>24</v>
      </c>
      <c r="F1160" t="s">
        <v>20</v>
      </c>
      <c r="G1160" t="s">
        <v>26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P1160">
        <v>57.5</v>
      </c>
    </row>
    <row r="1161" spans="1:16">
      <c r="A1161" t="s">
        <v>1189</v>
      </c>
      <c r="B1161" s="2">
        <v>45662</v>
      </c>
      <c r="C1161" t="s">
        <v>723</v>
      </c>
      <c r="D1161" t="s">
        <v>23</v>
      </c>
      <c r="E1161" t="s">
        <v>24</v>
      </c>
      <c r="F1161" t="s">
        <v>39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84.2</v>
      </c>
    </row>
    <row r="1162" spans="1:16">
      <c r="A1162" t="s">
        <v>1190</v>
      </c>
      <c r="B1162" s="2">
        <v>45724</v>
      </c>
      <c r="C1162" t="s">
        <v>723</v>
      </c>
      <c r="D1162" t="s">
        <v>32</v>
      </c>
      <c r="E1162" t="s">
        <v>24</v>
      </c>
      <c r="F1162" t="s">
        <v>29</v>
      </c>
      <c r="G1162" t="s">
        <v>26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P1162">
        <v>27.4</v>
      </c>
    </row>
    <row r="1163" spans="1:16">
      <c r="A1163" t="s">
        <v>1191</v>
      </c>
      <c r="B1163" s="2">
        <v>45728</v>
      </c>
      <c r="C1163" t="s">
        <v>723</v>
      </c>
      <c r="D1163" t="s">
        <v>23</v>
      </c>
      <c r="E1163" t="s">
        <v>24</v>
      </c>
      <c r="F1163" t="s">
        <v>20</v>
      </c>
      <c r="G1163" t="s">
        <v>21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P1163">
        <v>67.599999999999994</v>
      </c>
    </row>
    <row r="1164" spans="1:16">
      <c r="A1164" t="s">
        <v>1192</v>
      </c>
      <c r="B1164" s="2">
        <v>45681</v>
      </c>
      <c r="C1164" t="s">
        <v>723</v>
      </c>
      <c r="D1164" t="s">
        <v>23</v>
      </c>
      <c r="E1164" t="s">
        <v>24</v>
      </c>
      <c r="F1164" t="s">
        <v>25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P1164">
        <v>68.400000000000006</v>
      </c>
    </row>
    <row r="1165" spans="1:16">
      <c r="A1165" t="s">
        <v>1193</v>
      </c>
      <c r="B1165" s="2">
        <v>45799</v>
      </c>
      <c r="C1165" t="s">
        <v>723</v>
      </c>
      <c r="D1165" t="s">
        <v>32</v>
      </c>
      <c r="E1165" t="s">
        <v>24</v>
      </c>
      <c r="F1165" t="s">
        <v>29</v>
      </c>
      <c r="G1165" t="s">
        <v>21</v>
      </c>
      <c r="H1165">
        <v>1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P1165">
        <v>66.5</v>
      </c>
    </row>
    <row r="1166" spans="1:16">
      <c r="A1166" t="s">
        <v>1194</v>
      </c>
      <c r="B1166" s="2">
        <v>45743</v>
      </c>
      <c r="C1166" t="s">
        <v>723</v>
      </c>
      <c r="D1166" t="s">
        <v>32</v>
      </c>
      <c r="E1166" t="s">
        <v>24</v>
      </c>
      <c r="F1166" t="s">
        <v>29</v>
      </c>
      <c r="G1166" t="s">
        <v>26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P1166">
        <v>38.200000000000003</v>
      </c>
    </row>
    <row r="1167" spans="1:16">
      <c r="A1167" t="s">
        <v>1195</v>
      </c>
      <c r="B1167" s="2">
        <v>45659</v>
      </c>
      <c r="C1167" t="s">
        <v>723</v>
      </c>
      <c r="D1167" t="s">
        <v>23</v>
      </c>
      <c r="E1167" t="s">
        <v>24</v>
      </c>
      <c r="F1167" t="s">
        <v>41</v>
      </c>
      <c r="G1167" t="s">
        <v>26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66.7</v>
      </c>
    </row>
    <row r="1168" spans="1:16">
      <c r="A1168" t="s">
        <v>1196</v>
      </c>
      <c r="B1168" s="2">
        <v>45712</v>
      </c>
      <c r="C1168" t="s">
        <v>723</v>
      </c>
      <c r="D1168" t="s">
        <v>18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73.7</v>
      </c>
    </row>
    <row r="1169" spans="1:16">
      <c r="A1169" t="s">
        <v>1197</v>
      </c>
      <c r="B1169" s="2">
        <v>45717</v>
      </c>
      <c r="C1169" t="s">
        <v>723</v>
      </c>
      <c r="D1169" t="s">
        <v>23</v>
      </c>
      <c r="E1169" t="s">
        <v>19</v>
      </c>
      <c r="F1169" t="s">
        <v>25</v>
      </c>
      <c r="G1169" t="s">
        <v>21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P1169">
        <v>63.9</v>
      </c>
    </row>
    <row r="1170" spans="1:16">
      <c r="A1170" t="s">
        <v>1198</v>
      </c>
      <c r="B1170" s="2">
        <v>45742</v>
      </c>
      <c r="C1170" t="s">
        <v>723</v>
      </c>
      <c r="D1170" t="s">
        <v>32</v>
      </c>
      <c r="E1170" t="s">
        <v>34</v>
      </c>
      <c r="F1170" t="s">
        <v>25</v>
      </c>
      <c r="G1170" t="s">
        <v>21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P1170">
        <v>82.6</v>
      </c>
    </row>
    <row r="1171" spans="1:16">
      <c r="A1171" t="s">
        <v>1199</v>
      </c>
      <c r="B1171" s="2">
        <v>45802</v>
      </c>
      <c r="C1171" t="s">
        <v>723</v>
      </c>
      <c r="D1171" t="s">
        <v>28</v>
      </c>
      <c r="E1171" t="s">
        <v>24</v>
      </c>
      <c r="F1171" t="s">
        <v>29</v>
      </c>
      <c r="G1171" t="s">
        <v>26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P1171">
        <v>58.3</v>
      </c>
    </row>
    <row r="1172" spans="1:16">
      <c r="A1172" t="s">
        <v>1200</v>
      </c>
      <c r="B1172" s="2">
        <v>45713</v>
      </c>
      <c r="C1172" t="s">
        <v>723</v>
      </c>
      <c r="D1172" t="s">
        <v>23</v>
      </c>
      <c r="E1172" t="s">
        <v>24</v>
      </c>
      <c r="F1172" t="s">
        <v>39</v>
      </c>
      <c r="G1172" t="s">
        <v>30</v>
      </c>
      <c r="H1172">
        <v>1</v>
      </c>
      <c r="I1172">
        <v>1</v>
      </c>
      <c r="J1172">
        <v>1</v>
      </c>
      <c r="K1172">
        <v>1</v>
      </c>
      <c r="L1172">
        <v>1547.06</v>
      </c>
      <c r="M1172">
        <v>0</v>
      </c>
      <c r="N1172">
        <v>1</v>
      </c>
      <c r="O1172">
        <v>2</v>
      </c>
      <c r="P1172">
        <v>72.900000000000006</v>
      </c>
    </row>
    <row r="1173" spans="1:16">
      <c r="A1173" t="s">
        <v>1201</v>
      </c>
      <c r="B1173" s="2">
        <v>45739</v>
      </c>
      <c r="C1173" t="s">
        <v>723</v>
      </c>
      <c r="D1173" t="s">
        <v>32</v>
      </c>
      <c r="E1173" t="s">
        <v>24</v>
      </c>
      <c r="F1173" t="s">
        <v>41</v>
      </c>
      <c r="G1173" t="s">
        <v>26</v>
      </c>
      <c r="H1173">
        <v>1</v>
      </c>
      <c r="I1173">
        <v>1</v>
      </c>
      <c r="J1173">
        <v>1</v>
      </c>
      <c r="K1173">
        <v>0</v>
      </c>
      <c r="L1173">
        <v>0</v>
      </c>
      <c r="M1173">
        <v>2</v>
      </c>
      <c r="N1173">
        <v>0</v>
      </c>
      <c r="P1173">
        <v>53.5</v>
      </c>
    </row>
    <row r="1174" spans="1:16">
      <c r="A1174" t="s">
        <v>1202</v>
      </c>
      <c r="B1174" s="2">
        <v>45768</v>
      </c>
      <c r="C1174" t="s">
        <v>723</v>
      </c>
      <c r="D1174" t="s">
        <v>23</v>
      </c>
      <c r="E1174" t="s">
        <v>24</v>
      </c>
      <c r="F1174" t="s">
        <v>39</v>
      </c>
      <c r="G1174" t="s">
        <v>26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P1174">
        <v>54.8</v>
      </c>
    </row>
    <row r="1175" spans="1:16">
      <c r="A1175" t="s">
        <v>1203</v>
      </c>
      <c r="B1175" s="2">
        <v>45798</v>
      </c>
      <c r="C1175" t="s">
        <v>723</v>
      </c>
      <c r="D1175" t="s">
        <v>18</v>
      </c>
      <c r="E1175" t="s">
        <v>24</v>
      </c>
      <c r="F1175" t="s">
        <v>25</v>
      </c>
      <c r="G1175" t="s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P1175">
        <v>69.5</v>
      </c>
    </row>
    <row r="1176" spans="1:16">
      <c r="A1176" t="s">
        <v>1204</v>
      </c>
      <c r="B1176" s="2">
        <v>45772</v>
      </c>
      <c r="C1176" t="s">
        <v>723</v>
      </c>
      <c r="D1176" t="s">
        <v>18</v>
      </c>
      <c r="E1176" t="s">
        <v>19</v>
      </c>
      <c r="F1176" t="s">
        <v>41</v>
      </c>
      <c r="G1176" t="s">
        <v>26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P1176">
        <v>71.3</v>
      </c>
    </row>
    <row r="1177" spans="1:16">
      <c r="A1177" t="s">
        <v>1205</v>
      </c>
      <c r="B1177" s="2">
        <v>45800</v>
      </c>
      <c r="C1177" t="s">
        <v>723</v>
      </c>
      <c r="D1177" t="s">
        <v>23</v>
      </c>
      <c r="E1177" t="s">
        <v>24</v>
      </c>
      <c r="F1177" t="s">
        <v>39</v>
      </c>
      <c r="G1177" t="s">
        <v>21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P1177">
        <v>57.5</v>
      </c>
    </row>
    <row r="1178" spans="1:16">
      <c r="A1178" t="s">
        <v>1206</v>
      </c>
      <c r="B1178" s="2">
        <v>45734</v>
      </c>
      <c r="C1178" t="s">
        <v>723</v>
      </c>
      <c r="D1178" t="s">
        <v>32</v>
      </c>
      <c r="E1178" t="s">
        <v>24</v>
      </c>
      <c r="F1178" t="s">
        <v>20</v>
      </c>
      <c r="G1178" t="s">
        <v>26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4</v>
      </c>
      <c r="N1178">
        <v>0</v>
      </c>
      <c r="P1178">
        <v>50.9</v>
      </c>
    </row>
    <row r="1179" spans="1:16">
      <c r="A1179" t="s">
        <v>1207</v>
      </c>
      <c r="B1179" s="2">
        <v>45660</v>
      </c>
      <c r="C1179" t="s">
        <v>723</v>
      </c>
      <c r="D1179" t="s">
        <v>32</v>
      </c>
      <c r="E1179" t="s">
        <v>34</v>
      </c>
      <c r="F1179" t="s">
        <v>25</v>
      </c>
      <c r="G1179" t="s">
        <v>26</v>
      </c>
      <c r="H1179">
        <v>1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P1179">
        <v>69.3</v>
      </c>
    </row>
    <row r="1180" spans="1:16">
      <c r="A1180" t="s">
        <v>1208</v>
      </c>
      <c r="B1180" s="2">
        <v>45696</v>
      </c>
      <c r="C1180" t="s">
        <v>723</v>
      </c>
      <c r="D1180" t="s">
        <v>23</v>
      </c>
      <c r="E1180" t="s">
        <v>19</v>
      </c>
      <c r="F1180" t="s">
        <v>25</v>
      </c>
      <c r="G1180" t="s">
        <v>26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P1180">
        <v>50.1</v>
      </c>
    </row>
    <row r="1181" spans="1:16">
      <c r="A1181" t="s">
        <v>1209</v>
      </c>
      <c r="B1181" s="2">
        <v>45692</v>
      </c>
      <c r="C1181" t="s">
        <v>723</v>
      </c>
      <c r="D1181" t="s">
        <v>28</v>
      </c>
      <c r="F1181" t="s">
        <v>29</v>
      </c>
      <c r="G1181" t="s">
        <v>21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69.7</v>
      </c>
    </row>
    <row r="1182" spans="1:16">
      <c r="A1182" t="s">
        <v>1210</v>
      </c>
      <c r="B1182" s="2">
        <v>45673</v>
      </c>
      <c r="C1182" t="s">
        <v>723</v>
      </c>
      <c r="D1182" t="s">
        <v>18</v>
      </c>
      <c r="E1182" t="s">
        <v>24</v>
      </c>
      <c r="F1182" t="s">
        <v>29</v>
      </c>
      <c r="G1182" t="s">
        <v>26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63.5</v>
      </c>
    </row>
    <row r="1183" spans="1:16">
      <c r="A1183" t="s">
        <v>1211</v>
      </c>
      <c r="B1183" s="2">
        <v>45751</v>
      </c>
      <c r="C1183" t="s">
        <v>723</v>
      </c>
      <c r="D1183" t="s">
        <v>23</v>
      </c>
      <c r="E1183" t="s">
        <v>19</v>
      </c>
      <c r="F1183" t="s">
        <v>29</v>
      </c>
      <c r="G1183" t="s">
        <v>26</v>
      </c>
      <c r="H1183">
        <v>1</v>
      </c>
      <c r="I1183">
        <v>1</v>
      </c>
      <c r="J1183">
        <v>1</v>
      </c>
      <c r="K1183">
        <v>1</v>
      </c>
      <c r="L1183">
        <v>265.58999999999997</v>
      </c>
      <c r="M1183">
        <v>1</v>
      </c>
      <c r="N1183">
        <v>0</v>
      </c>
      <c r="O1183">
        <v>8</v>
      </c>
      <c r="P1183">
        <v>80.400000000000006</v>
      </c>
    </row>
    <row r="1184" spans="1:16">
      <c r="A1184" t="s">
        <v>1212</v>
      </c>
      <c r="B1184" s="2">
        <v>45680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58.9</v>
      </c>
    </row>
    <row r="1185" spans="1:16">
      <c r="A1185" t="s">
        <v>1213</v>
      </c>
      <c r="B1185" s="2">
        <v>45738</v>
      </c>
      <c r="C1185" t="s">
        <v>723</v>
      </c>
      <c r="D1185" t="s">
        <v>32</v>
      </c>
      <c r="E1185" t="s">
        <v>19</v>
      </c>
      <c r="F1185" t="s">
        <v>29</v>
      </c>
      <c r="G1185" t="s">
        <v>26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56.8</v>
      </c>
    </row>
    <row r="1186" spans="1:16">
      <c r="A1186" t="s">
        <v>1214</v>
      </c>
      <c r="B1186" s="2">
        <v>45690</v>
      </c>
      <c r="C1186" t="s">
        <v>723</v>
      </c>
      <c r="D1186" t="s">
        <v>28</v>
      </c>
      <c r="E1186" t="s">
        <v>34</v>
      </c>
      <c r="F1186" t="s">
        <v>41</v>
      </c>
      <c r="G1186" t="s">
        <v>30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P1186">
        <v>73.900000000000006</v>
      </c>
    </row>
    <row r="1187" spans="1:16">
      <c r="A1187" t="s">
        <v>1215</v>
      </c>
      <c r="B1187" s="2">
        <v>45688</v>
      </c>
      <c r="C1187" t="s">
        <v>723</v>
      </c>
      <c r="D1187" t="s">
        <v>18</v>
      </c>
      <c r="E1187" t="s">
        <v>19</v>
      </c>
      <c r="F1187" t="s">
        <v>29</v>
      </c>
      <c r="G1187" t="s">
        <v>26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76.3</v>
      </c>
    </row>
    <row r="1188" spans="1:16">
      <c r="A1188" t="s">
        <v>1216</v>
      </c>
      <c r="B1188" s="2">
        <v>45804</v>
      </c>
      <c r="C1188" t="s">
        <v>723</v>
      </c>
      <c r="D1188" t="s">
        <v>23</v>
      </c>
      <c r="E1188" t="s">
        <v>24</v>
      </c>
      <c r="F1188" t="s">
        <v>25</v>
      </c>
      <c r="G1188" t="s">
        <v>21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56.9</v>
      </c>
    </row>
    <row r="1189" spans="1:16">
      <c r="A1189" t="s">
        <v>1217</v>
      </c>
      <c r="B1189" s="2">
        <v>45784</v>
      </c>
      <c r="C1189" t="s">
        <v>723</v>
      </c>
      <c r="D1189" t="s">
        <v>18</v>
      </c>
      <c r="E1189" t="s">
        <v>24</v>
      </c>
      <c r="F1189" t="s">
        <v>25</v>
      </c>
      <c r="G1189" t="s">
        <v>30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0</v>
      </c>
      <c r="P1189">
        <v>49.4</v>
      </c>
    </row>
    <row r="1190" spans="1:16">
      <c r="A1190" t="s">
        <v>1218</v>
      </c>
      <c r="B1190" s="2">
        <v>45785</v>
      </c>
      <c r="C1190" t="s">
        <v>723</v>
      </c>
      <c r="D1190" t="s">
        <v>18</v>
      </c>
      <c r="E1190" t="s">
        <v>19</v>
      </c>
      <c r="F1190" t="s">
        <v>29</v>
      </c>
      <c r="G1190" t="s">
        <v>21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86.7</v>
      </c>
    </row>
    <row r="1191" spans="1:16">
      <c r="A1191" t="s">
        <v>1219</v>
      </c>
      <c r="B1191" s="2">
        <v>45672</v>
      </c>
      <c r="C1191" t="s">
        <v>723</v>
      </c>
      <c r="D1191" t="s">
        <v>23</v>
      </c>
      <c r="E1191" t="s">
        <v>19</v>
      </c>
      <c r="F1191" t="s">
        <v>20</v>
      </c>
      <c r="G1191" t="s">
        <v>26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3</v>
      </c>
      <c r="N1191">
        <v>0</v>
      </c>
      <c r="P1191">
        <v>69</v>
      </c>
    </row>
    <row r="1192" spans="1:16">
      <c r="A1192" t="s">
        <v>1220</v>
      </c>
      <c r="B1192" s="2">
        <v>45675</v>
      </c>
      <c r="C1192" t="s">
        <v>723</v>
      </c>
      <c r="D1192" t="s">
        <v>18</v>
      </c>
      <c r="E1192" t="s">
        <v>24</v>
      </c>
      <c r="F1192" t="s">
        <v>29</v>
      </c>
      <c r="G1192" t="s">
        <v>26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84.5</v>
      </c>
    </row>
    <row r="1193" spans="1:16">
      <c r="A1193" t="s">
        <v>1221</v>
      </c>
      <c r="B1193" s="2">
        <v>45763</v>
      </c>
      <c r="C1193" t="s">
        <v>723</v>
      </c>
      <c r="D1193" t="s">
        <v>28</v>
      </c>
      <c r="F1193" t="s">
        <v>39</v>
      </c>
      <c r="G1193" t="s">
        <v>26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66.3</v>
      </c>
    </row>
    <row r="1194" spans="1:16">
      <c r="A1194" t="s">
        <v>1222</v>
      </c>
      <c r="B1194" s="2">
        <v>45704</v>
      </c>
      <c r="C1194" t="s">
        <v>723</v>
      </c>
      <c r="D1194" t="s">
        <v>28</v>
      </c>
      <c r="E1194" t="s">
        <v>19</v>
      </c>
      <c r="F1194" t="s">
        <v>29</v>
      </c>
      <c r="G1194" t="s">
        <v>26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52.2</v>
      </c>
    </row>
    <row r="1195" spans="1:16">
      <c r="A1195" t="s">
        <v>1223</v>
      </c>
      <c r="B1195" s="2">
        <v>45764</v>
      </c>
      <c r="C1195" t="s">
        <v>723</v>
      </c>
      <c r="D1195" t="s">
        <v>32</v>
      </c>
      <c r="E1195" t="s">
        <v>19</v>
      </c>
      <c r="F1195" t="s">
        <v>39</v>
      </c>
      <c r="G1195" t="s">
        <v>30</v>
      </c>
      <c r="H1195">
        <v>1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P1195">
        <v>81.2</v>
      </c>
    </row>
    <row r="1196" spans="1:16">
      <c r="A1196" t="s">
        <v>1224</v>
      </c>
      <c r="B1196" s="2">
        <v>45777</v>
      </c>
      <c r="C1196" t="s">
        <v>723</v>
      </c>
      <c r="D1196" t="s">
        <v>32</v>
      </c>
      <c r="E1196" t="s">
        <v>24</v>
      </c>
      <c r="F1196" t="s">
        <v>25</v>
      </c>
      <c r="G1196" t="s">
        <v>21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53.9</v>
      </c>
    </row>
    <row r="1197" spans="1:16">
      <c r="A1197" t="s">
        <v>1225</v>
      </c>
      <c r="B1197" s="2">
        <v>45686</v>
      </c>
      <c r="C1197" t="s">
        <v>723</v>
      </c>
      <c r="D1197" t="s">
        <v>23</v>
      </c>
      <c r="E1197" t="s">
        <v>24</v>
      </c>
      <c r="F1197" t="s">
        <v>41</v>
      </c>
      <c r="G1197" t="s">
        <v>30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P1197">
        <v>39.1</v>
      </c>
    </row>
    <row r="1198" spans="1:16">
      <c r="A1198" t="s">
        <v>1226</v>
      </c>
      <c r="B1198" s="2">
        <v>45668</v>
      </c>
      <c r="C1198" t="s">
        <v>723</v>
      </c>
      <c r="D1198" t="s">
        <v>18</v>
      </c>
      <c r="E1198" t="s">
        <v>24</v>
      </c>
      <c r="F1198" t="s">
        <v>41</v>
      </c>
      <c r="G1198" t="s">
        <v>21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57.3</v>
      </c>
    </row>
    <row r="1199" spans="1:16">
      <c r="A1199" t="s">
        <v>1227</v>
      </c>
      <c r="B1199" s="2">
        <v>45755</v>
      </c>
      <c r="C1199" t="s">
        <v>723</v>
      </c>
      <c r="D1199" t="s">
        <v>28</v>
      </c>
      <c r="E1199" t="s">
        <v>19</v>
      </c>
      <c r="F1199" t="s">
        <v>29</v>
      </c>
      <c r="G1199" t="s">
        <v>30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65.900000000000006</v>
      </c>
    </row>
    <row r="1200" spans="1:16">
      <c r="A1200" t="s">
        <v>1228</v>
      </c>
      <c r="B1200" s="2">
        <v>45710</v>
      </c>
      <c r="C1200" t="s">
        <v>723</v>
      </c>
      <c r="D1200" t="s">
        <v>18</v>
      </c>
      <c r="F1200" t="s">
        <v>41</v>
      </c>
      <c r="G1200" t="s">
        <v>26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P1200">
        <v>34.200000000000003</v>
      </c>
    </row>
    <row r="1201" spans="1:16">
      <c r="A1201" t="s">
        <v>1229</v>
      </c>
      <c r="B1201" s="2">
        <v>45739</v>
      </c>
      <c r="C1201" t="s">
        <v>723</v>
      </c>
      <c r="D1201" t="s">
        <v>32</v>
      </c>
      <c r="E1201" t="s">
        <v>24</v>
      </c>
      <c r="F1201" t="s">
        <v>25</v>
      </c>
      <c r="G1201" t="s">
        <v>26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47.2</v>
      </c>
    </row>
    <row r="1202" spans="1:16">
      <c r="A1202" t="s">
        <v>1230</v>
      </c>
      <c r="B1202" s="2">
        <v>45800</v>
      </c>
      <c r="C1202" t="s">
        <v>723</v>
      </c>
      <c r="D1202" t="s">
        <v>32</v>
      </c>
      <c r="E1202" t="s">
        <v>34</v>
      </c>
      <c r="F1202" t="s">
        <v>29</v>
      </c>
      <c r="G1202" t="s">
        <v>26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55</v>
      </c>
    </row>
    <row r="1203" spans="1:16">
      <c r="A1203" t="s">
        <v>1231</v>
      </c>
      <c r="B1203" s="2">
        <v>45774</v>
      </c>
      <c r="C1203" t="s">
        <v>723</v>
      </c>
      <c r="D1203" t="s">
        <v>23</v>
      </c>
      <c r="E1203" t="s">
        <v>24</v>
      </c>
      <c r="F1203" t="s">
        <v>39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P1203">
        <v>76.400000000000006</v>
      </c>
    </row>
    <row r="1204" spans="1:16">
      <c r="A1204" t="s">
        <v>1232</v>
      </c>
      <c r="B1204" s="2">
        <v>45803</v>
      </c>
      <c r="C1204" t="s">
        <v>723</v>
      </c>
      <c r="D1204" t="s">
        <v>18</v>
      </c>
      <c r="E1204" t="s">
        <v>24</v>
      </c>
      <c r="F1204" t="s">
        <v>39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>
        <v>70.8</v>
      </c>
    </row>
    <row r="1205" spans="1:16">
      <c r="A1205" t="s">
        <v>1233</v>
      </c>
      <c r="B1205" s="2">
        <v>45722</v>
      </c>
      <c r="C1205" t="s">
        <v>723</v>
      </c>
      <c r="D1205" t="s">
        <v>28</v>
      </c>
      <c r="E1205" t="s">
        <v>24</v>
      </c>
      <c r="F1205" t="s">
        <v>29</v>
      </c>
      <c r="G1205" t="s">
        <v>21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1</v>
      </c>
      <c r="N1205">
        <v>0</v>
      </c>
      <c r="P1205">
        <v>58</v>
      </c>
    </row>
    <row r="1206" spans="1:16">
      <c r="A1206" t="s">
        <v>1234</v>
      </c>
      <c r="B1206" s="2">
        <v>45750</v>
      </c>
      <c r="C1206" t="s">
        <v>723</v>
      </c>
      <c r="D1206" t="s">
        <v>23</v>
      </c>
      <c r="E1206" t="s">
        <v>24</v>
      </c>
      <c r="F1206" t="s">
        <v>25</v>
      </c>
      <c r="G1206" t="s">
        <v>21</v>
      </c>
      <c r="H1206">
        <v>1</v>
      </c>
      <c r="I1206">
        <v>1</v>
      </c>
      <c r="J1206">
        <v>1</v>
      </c>
      <c r="K1206">
        <v>0</v>
      </c>
      <c r="L1206">
        <v>0</v>
      </c>
      <c r="M1206">
        <v>1</v>
      </c>
      <c r="N1206">
        <v>0</v>
      </c>
      <c r="P1206">
        <v>70.8</v>
      </c>
    </row>
    <row r="1207" spans="1:16">
      <c r="A1207" t="s">
        <v>1235</v>
      </c>
      <c r="B1207" s="2">
        <v>45689</v>
      </c>
      <c r="C1207" t="s">
        <v>723</v>
      </c>
      <c r="D1207" t="s">
        <v>28</v>
      </c>
      <c r="E1207" t="s">
        <v>19</v>
      </c>
      <c r="F1207" t="s">
        <v>29</v>
      </c>
      <c r="G1207" t="s">
        <v>26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3</v>
      </c>
      <c r="N1207">
        <v>0</v>
      </c>
      <c r="P1207">
        <v>60</v>
      </c>
    </row>
    <row r="1208" spans="1:16">
      <c r="A1208" t="s">
        <v>1236</v>
      </c>
      <c r="B1208" s="2">
        <v>45778</v>
      </c>
      <c r="C1208" t="s">
        <v>723</v>
      </c>
      <c r="D1208" t="s">
        <v>23</v>
      </c>
      <c r="E1208" t="s">
        <v>24</v>
      </c>
      <c r="F1208" t="s">
        <v>39</v>
      </c>
      <c r="G1208" t="s">
        <v>30</v>
      </c>
      <c r="H1208">
        <v>1</v>
      </c>
      <c r="I1208">
        <v>1</v>
      </c>
      <c r="J1208">
        <v>1</v>
      </c>
      <c r="K1208">
        <v>0</v>
      </c>
      <c r="L1208">
        <v>0</v>
      </c>
      <c r="M1208">
        <v>3</v>
      </c>
      <c r="N1208">
        <v>0</v>
      </c>
      <c r="P1208">
        <v>58.1</v>
      </c>
    </row>
    <row r="1209" spans="1:16">
      <c r="A1209" t="s">
        <v>1237</v>
      </c>
      <c r="B1209" s="2">
        <v>45760</v>
      </c>
      <c r="C1209" t="s">
        <v>723</v>
      </c>
      <c r="D1209" t="s">
        <v>18</v>
      </c>
      <c r="E1209" t="s">
        <v>24</v>
      </c>
      <c r="F1209" t="s">
        <v>41</v>
      </c>
      <c r="G1209" t="s">
        <v>30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P1209">
        <v>59.7</v>
      </c>
    </row>
    <row r="1210" spans="1:16">
      <c r="A1210" t="s">
        <v>1238</v>
      </c>
      <c r="B1210" s="2">
        <v>45682</v>
      </c>
      <c r="C1210" t="s">
        <v>723</v>
      </c>
      <c r="D1210" t="s">
        <v>28</v>
      </c>
      <c r="E1210" t="s">
        <v>24</v>
      </c>
      <c r="F1210" t="s">
        <v>41</v>
      </c>
      <c r="G1210" t="s">
        <v>26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47.7</v>
      </c>
    </row>
    <row r="1211" spans="1:16">
      <c r="A1211" t="s">
        <v>1239</v>
      </c>
      <c r="B1211" s="2">
        <v>45733</v>
      </c>
      <c r="C1211" t="s">
        <v>723</v>
      </c>
      <c r="D1211" t="s">
        <v>18</v>
      </c>
      <c r="E1211" t="s">
        <v>24</v>
      </c>
      <c r="F1211" t="s">
        <v>25</v>
      </c>
      <c r="G1211" t="s">
        <v>26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59.1</v>
      </c>
    </row>
    <row r="1212" spans="1:16">
      <c r="A1212" t="s">
        <v>1240</v>
      </c>
      <c r="B1212" s="2">
        <v>45709</v>
      </c>
      <c r="C1212" t="s">
        <v>723</v>
      </c>
      <c r="D1212" t="s">
        <v>23</v>
      </c>
      <c r="E1212" t="s">
        <v>19</v>
      </c>
      <c r="F1212" t="s">
        <v>41</v>
      </c>
      <c r="G1212" t="s">
        <v>21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P1212">
        <v>68.7</v>
      </c>
    </row>
    <row r="1213" spans="1:16">
      <c r="A1213" t="s">
        <v>1241</v>
      </c>
      <c r="B1213" s="2">
        <v>45755</v>
      </c>
      <c r="C1213" t="s">
        <v>723</v>
      </c>
      <c r="D1213" t="s">
        <v>28</v>
      </c>
      <c r="E1213" t="s">
        <v>34</v>
      </c>
      <c r="F1213" t="s">
        <v>25</v>
      </c>
      <c r="G1213" t="s">
        <v>21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P1213">
        <v>34.700000000000003</v>
      </c>
    </row>
    <row r="1214" spans="1:16">
      <c r="A1214" t="s">
        <v>1091</v>
      </c>
      <c r="B1214" s="2">
        <v>45793</v>
      </c>
      <c r="C1214" t="s">
        <v>723</v>
      </c>
      <c r="D1214" t="s">
        <v>32</v>
      </c>
      <c r="E1214" t="s">
        <v>24</v>
      </c>
      <c r="F1214" t="s">
        <v>25</v>
      </c>
      <c r="G1214" t="s">
        <v>26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70.3</v>
      </c>
    </row>
    <row r="1215" spans="1:16">
      <c r="A1215" t="s">
        <v>1243</v>
      </c>
      <c r="B1215" s="2">
        <v>45806</v>
      </c>
      <c r="C1215" t="s">
        <v>723</v>
      </c>
      <c r="D1215" t="s">
        <v>32</v>
      </c>
      <c r="E1215" t="s">
        <v>24</v>
      </c>
      <c r="F1215" t="s">
        <v>25</v>
      </c>
      <c r="G1215" t="s">
        <v>26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56</v>
      </c>
    </row>
    <row r="1216" spans="1:16">
      <c r="A1216" t="s">
        <v>1244</v>
      </c>
      <c r="B1216" s="2">
        <v>45807</v>
      </c>
      <c r="C1216" t="s">
        <v>723</v>
      </c>
      <c r="D1216" t="s">
        <v>18</v>
      </c>
      <c r="E1216" t="s">
        <v>24</v>
      </c>
      <c r="F1216" t="s">
        <v>20</v>
      </c>
      <c r="G1216" t="s">
        <v>21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P1216">
        <v>65.8</v>
      </c>
    </row>
    <row r="1217" spans="1:16">
      <c r="A1217" t="s">
        <v>1245</v>
      </c>
      <c r="B1217" s="2">
        <v>45681</v>
      </c>
      <c r="C1217" t="s">
        <v>723</v>
      </c>
      <c r="D1217" t="s">
        <v>18</v>
      </c>
      <c r="E1217" t="s">
        <v>19</v>
      </c>
      <c r="F1217" t="s">
        <v>25</v>
      </c>
      <c r="G1217" t="s">
        <v>30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54.7</v>
      </c>
    </row>
    <row r="1218" spans="1:16">
      <c r="A1218" t="s">
        <v>1246</v>
      </c>
      <c r="B1218" s="2">
        <v>45789</v>
      </c>
      <c r="C1218" t="s">
        <v>723</v>
      </c>
      <c r="D1218" t="s">
        <v>32</v>
      </c>
      <c r="E1218" t="s">
        <v>24</v>
      </c>
      <c r="F1218" t="s">
        <v>25</v>
      </c>
      <c r="G1218" t="s">
        <v>21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64.099999999999994</v>
      </c>
    </row>
    <row r="1219" spans="1:16">
      <c r="A1219" t="s">
        <v>1247</v>
      </c>
      <c r="B1219" s="2">
        <v>45744</v>
      </c>
      <c r="C1219" t="s">
        <v>723</v>
      </c>
      <c r="D1219" t="s">
        <v>32</v>
      </c>
      <c r="E1219" t="s">
        <v>24</v>
      </c>
      <c r="F1219" t="s">
        <v>25</v>
      </c>
      <c r="G1219" t="s">
        <v>21</v>
      </c>
      <c r="H1219">
        <v>1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0</v>
      </c>
      <c r="P1219">
        <v>71.599999999999994</v>
      </c>
    </row>
    <row r="1220" spans="1:16">
      <c r="A1220" t="s">
        <v>1248</v>
      </c>
      <c r="B1220" s="2">
        <v>45761</v>
      </c>
      <c r="C1220" t="s">
        <v>723</v>
      </c>
      <c r="D1220" t="s">
        <v>18</v>
      </c>
      <c r="E1220" t="s">
        <v>24</v>
      </c>
      <c r="F1220" t="s">
        <v>39</v>
      </c>
      <c r="G1220" t="s">
        <v>21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78.400000000000006</v>
      </c>
    </row>
    <row r="1221" spans="1:16">
      <c r="A1221" t="s">
        <v>1249</v>
      </c>
      <c r="B1221" s="2">
        <v>45685</v>
      </c>
      <c r="C1221" t="s">
        <v>723</v>
      </c>
      <c r="D1221" t="s">
        <v>28</v>
      </c>
      <c r="E1221" t="s">
        <v>34</v>
      </c>
      <c r="F1221" t="s">
        <v>39</v>
      </c>
      <c r="G1221" t="s">
        <v>21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49.3</v>
      </c>
    </row>
    <row r="1222" spans="1:16">
      <c r="A1222" t="s">
        <v>1250</v>
      </c>
      <c r="B1222" s="2">
        <v>45798</v>
      </c>
      <c r="C1222" t="s">
        <v>723</v>
      </c>
      <c r="D1222" t="s">
        <v>18</v>
      </c>
      <c r="E1222" t="s">
        <v>24</v>
      </c>
      <c r="F1222" t="s">
        <v>25</v>
      </c>
      <c r="G1222" t="s">
        <v>21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P1222">
        <v>52.8</v>
      </c>
    </row>
    <row r="1223" spans="1:16">
      <c r="A1223" t="s">
        <v>1251</v>
      </c>
      <c r="B1223" s="2">
        <v>45788</v>
      </c>
      <c r="C1223" t="s">
        <v>723</v>
      </c>
      <c r="D1223" t="s">
        <v>23</v>
      </c>
      <c r="E1223" t="s">
        <v>19</v>
      </c>
      <c r="F1223" t="s">
        <v>25</v>
      </c>
      <c r="G1223" t="s">
        <v>26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P1223">
        <v>58.5</v>
      </c>
    </row>
    <row r="1224" spans="1:16">
      <c r="A1224" t="s">
        <v>1252</v>
      </c>
      <c r="B1224" s="2">
        <v>45690</v>
      </c>
      <c r="C1224" t="s">
        <v>723</v>
      </c>
      <c r="D1224" t="s">
        <v>32</v>
      </c>
      <c r="E1224" t="s">
        <v>24</v>
      </c>
      <c r="F1224" t="s">
        <v>29</v>
      </c>
      <c r="G1224" t="s">
        <v>26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55.9</v>
      </c>
    </row>
    <row r="1225" spans="1:16">
      <c r="A1225" t="s">
        <v>1253</v>
      </c>
      <c r="B1225" s="2">
        <v>45714</v>
      </c>
      <c r="C1225" t="s">
        <v>723</v>
      </c>
      <c r="D1225" t="s">
        <v>18</v>
      </c>
      <c r="E1225" t="s">
        <v>24</v>
      </c>
      <c r="F1225" t="s">
        <v>41</v>
      </c>
      <c r="G1225" t="s">
        <v>26</v>
      </c>
      <c r="H1225">
        <v>1</v>
      </c>
      <c r="I1225">
        <v>1</v>
      </c>
      <c r="J1225">
        <v>1</v>
      </c>
      <c r="K1225">
        <v>1</v>
      </c>
      <c r="L1225">
        <v>351.43</v>
      </c>
      <c r="M1225">
        <v>1</v>
      </c>
      <c r="N1225">
        <v>0</v>
      </c>
      <c r="O1225">
        <v>6</v>
      </c>
      <c r="P1225">
        <v>74.900000000000006</v>
      </c>
    </row>
    <row r="1226" spans="1:16">
      <c r="A1226" t="s">
        <v>1254</v>
      </c>
      <c r="B1226" s="2">
        <v>45715</v>
      </c>
      <c r="C1226" t="s">
        <v>723</v>
      </c>
      <c r="D1226" t="s">
        <v>32</v>
      </c>
      <c r="E1226" t="s">
        <v>19</v>
      </c>
      <c r="F1226" t="s">
        <v>39</v>
      </c>
      <c r="G1226" t="s">
        <v>26</v>
      </c>
      <c r="H1226">
        <v>1</v>
      </c>
      <c r="I1226">
        <v>1</v>
      </c>
      <c r="J1226">
        <v>1</v>
      </c>
      <c r="K1226">
        <v>1</v>
      </c>
      <c r="L1226">
        <v>352.42</v>
      </c>
      <c r="M1226">
        <v>0</v>
      </c>
      <c r="N1226">
        <v>0</v>
      </c>
      <c r="O1226">
        <v>4</v>
      </c>
      <c r="P1226">
        <v>58.5</v>
      </c>
    </row>
    <row r="1227" spans="1:16">
      <c r="A1227" t="s">
        <v>1255</v>
      </c>
      <c r="B1227" s="2">
        <v>45725</v>
      </c>
      <c r="C1227" t="s">
        <v>723</v>
      </c>
      <c r="D1227" t="s">
        <v>23</v>
      </c>
      <c r="E1227" t="s">
        <v>24</v>
      </c>
      <c r="F1227" t="s">
        <v>25</v>
      </c>
      <c r="G1227" t="s">
        <v>26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63.5</v>
      </c>
    </row>
    <row r="1228" spans="1:16">
      <c r="A1228" t="s">
        <v>1256</v>
      </c>
      <c r="B1228" s="2">
        <v>45695</v>
      </c>
      <c r="C1228" t="s">
        <v>723</v>
      </c>
      <c r="D1228" t="s">
        <v>18</v>
      </c>
      <c r="E1228" t="s">
        <v>24</v>
      </c>
      <c r="F1228" t="s">
        <v>29</v>
      </c>
      <c r="G1228" t="s">
        <v>21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P1228">
        <v>64.8</v>
      </c>
    </row>
    <row r="1229" spans="1:16">
      <c r="A1229" t="s">
        <v>1257</v>
      </c>
      <c r="B1229" s="2">
        <v>45688</v>
      </c>
      <c r="C1229" t="s">
        <v>723</v>
      </c>
      <c r="D1229" t="s">
        <v>23</v>
      </c>
      <c r="E1229" t="s">
        <v>24</v>
      </c>
      <c r="F1229" t="s">
        <v>41</v>
      </c>
      <c r="G1229" t="s">
        <v>26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63.3</v>
      </c>
    </row>
    <row r="1230" spans="1:16">
      <c r="A1230" t="s">
        <v>1258</v>
      </c>
      <c r="B1230" s="2">
        <v>45702</v>
      </c>
      <c r="C1230" t="s">
        <v>723</v>
      </c>
      <c r="D1230" t="s">
        <v>18</v>
      </c>
      <c r="E1230" t="s">
        <v>34</v>
      </c>
      <c r="F1230" t="s">
        <v>29</v>
      </c>
      <c r="G1230" t="s">
        <v>21</v>
      </c>
      <c r="H1230">
        <v>1</v>
      </c>
      <c r="I1230">
        <v>1</v>
      </c>
      <c r="J1230">
        <v>1</v>
      </c>
      <c r="K1230">
        <v>1</v>
      </c>
      <c r="L1230">
        <v>1074.1600000000001</v>
      </c>
      <c r="M1230">
        <v>0</v>
      </c>
      <c r="N1230">
        <v>0</v>
      </c>
      <c r="O1230">
        <v>8</v>
      </c>
      <c r="P1230">
        <v>83.7</v>
      </c>
    </row>
    <row r="1231" spans="1:16">
      <c r="A1231" t="s">
        <v>1259</v>
      </c>
      <c r="B1231" s="2">
        <v>45700</v>
      </c>
      <c r="C1231" t="s">
        <v>723</v>
      </c>
      <c r="D1231" t="s">
        <v>32</v>
      </c>
      <c r="E1231" t="s">
        <v>19</v>
      </c>
      <c r="F1231" t="s">
        <v>41</v>
      </c>
      <c r="G1231" t="s">
        <v>21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88.7</v>
      </c>
    </row>
    <row r="1232" spans="1:16">
      <c r="A1232" t="s">
        <v>1260</v>
      </c>
      <c r="B1232" s="2">
        <v>45739</v>
      </c>
      <c r="C1232" t="s">
        <v>723</v>
      </c>
      <c r="D1232" t="s">
        <v>28</v>
      </c>
      <c r="F1232" t="s">
        <v>29</v>
      </c>
      <c r="G1232" t="s">
        <v>26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61.5</v>
      </c>
    </row>
    <row r="1233" spans="1:17">
      <c r="A1233" t="s">
        <v>1261</v>
      </c>
      <c r="B1233" s="2">
        <v>45734</v>
      </c>
      <c r="C1233" t="s">
        <v>723</v>
      </c>
      <c r="D1233" t="s">
        <v>23</v>
      </c>
      <c r="E1233" t="s">
        <v>24</v>
      </c>
      <c r="F1233" t="s">
        <v>29</v>
      </c>
      <c r="G1233" t="s">
        <v>26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P1233">
        <v>45.3</v>
      </c>
    </row>
    <row r="1234" spans="1:17">
      <c r="A1234" t="s">
        <v>1262</v>
      </c>
      <c r="B1234" s="2">
        <v>45794</v>
      </c>
      <c r="C1234" t="s">
        <v>723</v>
      </c>
      <c r="D1234" t="s">
        <v>18</v>
      </c>
      <c r="E1234" t="s">
        <v>24</v>
      </c>
      <c r="F1234" t="s">
        <v>41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37.299999999999997</v>
      </c>
    </row>
    <row r="1235" spans="1:17">
      <c r="A1235" t="s">
        <v>1263</v>
      </c>
      <c r="B1235" s="2">
        <v>45742</v>
      </c>
      <c r="C1235" t="s">
        <v>723</v>
      </c>
      <c r="D1235" t="s">
        <v>23</v>
      </c>
      <c r="E1235" t="s">
        <v>19</v>
      </c>
      <c r="F1235" t="s">
        <v>41</v>
      </c>
      <c r="G1235" t="s">
        <v>30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P1235">
        <v>76.099999999999994</v>
      </c>
    </row>
    <row r="1236" spans="1:17" s="23" customFormat="1">
      <c r="A1236" s="23" t="s">
        <v>1091</v>
      </c>
      <c r="B1236" s="24">
        <v>45793</v>
      </c>
      <c r="C1236" s="23" t="s">
        <v>723</v>
      </c>
      <c r="D1236" s="23" t="s">
        <v>32</v>
      </c>
      <c r="E1236" s="23" t="s">
        <v>24</v>
      </c>
      <c r="F1236" s="23" t="s">
        <v>25</v>
      </c>
      <c r="G1236" s="23" t="s">
        <v>26</v>
      </c>
      <c r="H1236" s="23">
        <v>1</v>
      </c>
      <c r="I1236" s="23">
        <v>0</v>
      </c>
      <c r="J1236" s="23">
        <v>0</v>
      </c>
      <c r="K1236" s="23">
        <v>0</v>
      </c>
      <c r="L1236" s="23">
        <v>0</v>
      </c>
      <c r="M1236" s="23">
        <v>0</v>
      </c>
      <c r="N1236" s="23">
        <v>0</v>
      </c>
      <c r="P1236" s="23">
        <v>70.3</v>
      </c>
      <c r="Q1236" s="23" t="s">
        <v>1470</v>
      </c>
    </row>
    <row r="1237" spans="1:17">
      <c r="A1237" t="s">
        <v>1265</v>
      </c>
      <c r="B1237" s="2">
        <v>45713</v>
      </c>
      <c r="C1237" t="s">
        <v>723</v>
      </c>
      <c r="D1237" t="s">
        <v>28</v>
      </c>
      <c r="E1237" t="s">
        <v>19</v>
      </c>
      <c r="F1237" t="s">
        <v>25</v>
      </c>
      <c r="G1237" t="s">
        <v>26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62.3</v>
      </c>
    </row>
    <row r="1238" spans="1:17">
      <c r="A1238" t="s">
        <v>1266</v>
      </c>
      <c r="B1238" s="2">
        <v>45717</v>
      </c>
      <c r="C1238" t="s">
        <v>723</v>
      </c>
      <c r="D1238" t="s">
        <v>28</v>
      </c>
      <c r="E1238" t="s">
        <v>19</v>
      </c>
      <c r="F1238" t="s">
        <v>41</v>
      </c>
      <c r="G1238" t="s">
        <v>26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P1238">
        <v>62.7</v>
      </c>
    </row>
    <row r="1239" spans="1:17">
      <c r="A1239" t="s">
        <v>1267</v>
      </c>
      <c r="B1239" s="2">
        <v>45804</v>
      </c>
      <c r="C1239" t="s">
        <v>723</v>
      </c>
      <c r="D1239" t="s">
        <v>18</v>
      </c>
      <c r="E1239" t="s">
        <v>24</v>
      </c>
      <c r="F1239" t="s">
        <v>29</v>
      </c>
      <c r="G1239" t="s">
        <v>21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82.4</v>
      </c>
    </row>
    <row r="1240" spans="1:17">
      <c r="A1240" t="s">
        <v>1268</v>
      </c>
      <c r="B1240" s="2">
        <v>45693</v>
      </c>
      <c r="C1240" t="s">
        <v>723</v>
      </c>
      <c r="D1240" t="s">
        <v>23</v>
      </c>
      <c r="E1240" t="s">
        <v>24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78.900000000000006</v>
      </c>
    </row>
    <row r="1241" spans="1:17">
      <c r="A1241" t="s">
        <v>1269</v>
      </c>
      <c r="B1241" s="2">
        <v>45682</v>
      </c>
      <c r="C1241" t="s">
        <v>723</v>
      </c>
      <c r="D1241" t="s">
        <v>23</v>
      </c>
      <c r="E1241" t="s">
        <v>19</v>
      </c>
      <c r="F1241" t="s">
        <v>20</v>
      </c>
      <c r="G1241" t="s">
        <v>26</v>
      </c>
      <c r="H1241">
        <v>1</v>
      </c>
      <c r="I1241">
        <v>1</v>
      </c>
      <c r="J1241">
        <v>1</v>
      </c>
      <c r="K1241">
        <v>1</v>
      </c>
      <c r="L1241">
        <v>618.91</v>
      </c>
      <c r="M1241">
        <v>0</v>
      </c>
      <c r="N1241">
        <v>0</v>
      </c>
      <c r="O1241">
        <v>4</v>
      </c>
      <c r="P1241">
        <v>67.8</v>
      </c>
    </row>
    <row r="1242" spans="1:17">
      <c r="A1242" t="s">
        <v>1270</v>
      </c>
      <c r="B1242" s="2">
        <v>45757</v>
      </c>
      <c r="C1242" t="s">
        <v>723</v>
      </c>
      <c r="D1242" t="s">
        <v>28</v>
      </c>
      <c r="E1242" t="s">
        <v>24</v>
      </c>
      <c r="F1242" t="s">
        <v>25</v>
      </c>
      <c r="G1242" t="s">
        <v>30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68.8</v>
      </c>
    </row>
    <row r="1243" spans="1:17">
      <c r="A1243" t="s">
        <v>1271</v>
      </c>
      <c r="B1243" s="2">
        <v>45667</v>
      </c>
      <c r="C1243" t="s">
        <v>723</v>
      </c>
      <c r="D1243" t="s">
        <v>28</v>
      </c>
      <c r="E1243" t="s">
        <v>24</v>
      </c>
      <c r="F1243" t="s">
        <v>25</v>
      </c>
      <c r="G1243" t="s">
        <v>30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P1243">
        <v>67.7</v>
      </c>
    </row>
    <row r="1244" spans="1:17">
      <c r="A1244" t="s">
        <v>1272</v>
      </c>
      <c r="B1244" s="2">
        <v>45711</v>
      </c>
      <c r="C1244" t="s">
        <v>723</v>
      </c>
      <c r="D1244" t="s">
        <v>28</v>
      </c>
      <c r="E1244" t="s">
        <v>24</v>
      </c>
      <c r="G1244" t="s">
        <v>26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88</v>
      </c>
    </row>
    <row r="1245" spans="1:17">
      <c r="A1245" t="s">
        <v>1273</v>
      </c>
      <c r="B1245" s="2">
        <v>45800</v>
      </c>
      <c r="C1245" t="s">
        <v>723</v>
      </c>
      <c r="D1245" t="s">
        <v>23</v>
      </c>
      <c r="E1245" t="s">
        <v>19</v>
      </c>
      <c r="F1245" t="s">
        <v>25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80.099999999999994</v>
      </c>
    </row>
    <row r="1246" spans="1:17">
      <c r="A1246" t="s">
        <v>1274</v>
      </c>
      <c r="B1246" s="2">
        <v>45724</v>
      </c>
      <c r="C1246" t="s">
        <v>723</v>
      </c>
      <c r="D1246" t="s">
        <v>18</v>
      </c>
      <c r="E1246" t="s">
        <v>34</v>
      </c>
      <c r="F1246" t="s">
        <v>20</v>
      </c>
      <c r="G1246" t="s">
        <v>21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P1246">
        <v>48.2</v>
      </c>
    </row>
    <row r="1247" spans="1:17">
      <c r="A1247" t="s">
        <v>1275</v>
      </c>
      <c r="B1247" s="2">
        <v>45798</v>
      </c>
      <c r="C1247" t="s">
        <v>723</v>
      </c>
      <c r="D1247" t="s">
        <v>28</v>
      </c>
      <c r="E1247" t="s">
        <v>24</v>
      </c>
      <c r="F1247" t="s">
        <v>25</v>
      </c>
      <c r="G1247" t="s">
        <v>21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52.7</v>
      </c>
    </row>
    <row r="1248" spans="1:17">
      <c r="A1248" t="s">
        <v>1276</v>
      </c>
      <c r="B1248" s="2">
        <v>45769</v>
      </c>
      <c r="C1248" t="s">
        <v>723</v>
      </c>
      <c r="D1248" t="s">
        <v>18</v>
      </c>
      <c r="E1248" t="s">
        <v>24</v>
      </c>
      <c r="F1248" t="s">
        <v>20</v>
      </c>
      <c r="G1248" t="s">
        <v>21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59.9</v>
      </c>
    </row>
    <row r="1249" spans="1:16">
      <c r="A1249" t="s">
        <v>1277</v>
      </c>
      <c r="B1249" s="2">
        <v>45763</v>
      </c>
      <c r="C1249" t="s">
        <v>723</v>
      </c>
      <c r="D1249" t="s">
        <v>18</v>
      </c>
      <c r="E1249" t="s">
        <v>24</v>
      </c>
      <c r="F1249" t="s">
        <v>20</v>
      </c>
      <c r="G1249" t="s">
        <v>30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P1249">
        <v>49.5</v>
      </c>
    </row>
    <row r="1250" spans="1:16">
      <c r="A1250" t="s">
        <v>1278</v>
      </c>
      <c r="B1250" s="2">
        <v>45785</v>
      </c>
      <c r="C1250" t="s">
        <v>723</v>
      </c>
      <c r="D1250" t="s">
        <v>18</v>
      </c>
      <c r="E1250" t="s">
        <v>34</v>
      </c>
      <c r="F1250" t="s">
        <v>25</v>
      </c>
      <c r="G1250" t="s">
        <v>26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P1250">
        <v>41.5</v>
      </c>
    </row>
    <row r="1251" spans="1:16">
      <c r="A1251" t="s">
        <v>1279</v>
      </c>
      <c r="B1251" s="2">
        <v>45799</v>
      </c>
      <c r="C1251" t="s">
        <v>723</v>
      </c>
      <c r="D1251" t="s">
        <v>18</v>
      </c>
      <c r="E1251" t="s">
        <v>24</v>
      </c>
      <c r="F1251" t="s">
        <v>29</v>
      </c>
      <c r="G1251" t="s">
        <v>21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71.2</v>
      </c>
    </row>
    <row r="1252" spans="1:16">
      <c r="A1252" t="s">
        <v>1280</v>
      </c>
      <c r="B1252" s="2">
        <v>45737</v>
      </c>
      <c r="C1252" t="s">
        <v>723</v>
      </c>
      <c r="D1252" t="s">
        <v>18</v>
      </c>
      <c r="E1252" t="s">
        <v>24</v>
      </c>
      <c r="F1252" t="s">
        <v>39</v>
      </c>
      <c r="G1252" t="s">
        <v>21</v>
      </c>
      <c r="H1252">
        <v>1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P1252">
        <v>65.8</v>
      </c>
    </row>
    <row r="1253" spans="1:16">
      <c r="A1253" t="s">
        <v>1281</v>
      </c>
      <c r="B1253" s="2">
        <v>45738</v>
      </c>
      <c r="C1253" t="s">
        <v>723</v>
      </c>
      <c r="D1253" t="s">
        <v>28</v>
      </c>
      <c r="E1253" t="s">
        <v>24</v>
      </c>
      <c r="F1253" t="s">
        <v>25</v>
      </c>
      <c r="G1253" t="s">
        <v>21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P1253">
        <v>55.1</v>
      </c>
    </row>
    <row r="1254" spans="1:16">
      <c r="A1254" t="s">
        <v>1282</v>
      </c>
      <c r="B1254" s="2">
        <v>45667</v>
      </c>
      <c r="C1254" t="s">
        <v>723</v>
      </c>
      <c r="D1254" t="s">
        <v>23</v>
      </c>
      <c r="E1254" t="s">
        <v>19</v>
      </c>
      <c r="F1254" t="s">
        <v>41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54.6</v>
      </c>
    </row>
    <row r="1255" spans="1:16">
      <c r="A1255" t="s">
        <v>1283</v>
      </c>
      <c r="B1255" s="2">
        <v>45689</v>
      </c>
      <c r="C1255" t="s">
        <v>723</v>
      </c>
      <c r="D1255" t="s">
        <v>28</v>
      </c>
      <c r="E1255" t="s">
        <v>24</v>
      </c>
      <c r="F1255" t="s">
        <v>25</v>
      </c>
      <c r="G1255" t="s">
        <v>21</v>
      </c>
      <c r="H1255">
        <v>1</v>
      </c>
      <c r="I1255">
        <v>1</v>
      </c>
      <c r="J1255">
        <v>1</v>
      </c>
      <c r="K1255">
        <v>1</v>
      </c>
      <c r="L1255">
        <v>923.67</v>
      </c>
      <c r="M1255">
        <v>0</v>
      </c>
      <c r="N1255">
        <v>0</v>
      </c>
      <c r="O1255">
        <v>4</v>
      </c>
      <c r="P1255">
        <v>81.900000000000006</v>
      </c>
    </row>
    <row r="1256" spans="1:16">
      <c r="A1256" t="s">
        <v>1284</v>
      </c>
      <c r="B1256" s="2">
        <v>45747</v>
      </c>
      <c r="C1256" t="s">
        <v>723</v>
      </c>
      <c r="D1256" t="s">
        <v>32</v>
      </c>
      <c r="E1256" t="s">
        <v>24</v>
      </c>
      <c r="F1256" t="s">
        <v>29</v>
      </c>
      <c r="G1256" t="s">
        <v>21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3</v>
      </c>
      <c r="N1256">
        <v>0</v>
      </c>
      <c r="P1256">
        <v>63.2</v>
      </c>
    </row>
    <row r="1257" spans="1:16">
      <c r="A1257" t="s">
        <v>1285</v>
      </c>
      <c r="B1257" s="2">
        <v>45772</v>
      </c>
      <c r="C1257" t="s">
        <v>723</v>
      </c>
      <c r="D1257" t="s">
        <v>18</v>
      </c>
      <c r="E1257" t="s">
        <v>24</v>
      </c>
      <c r="F1257" t="s">
        <v>29</v>
      </c>
      <c r="G1257" t="s">
        <v>26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P1257">
        <v>55.4</v>
      </c>
    </row>
    <row r="1258" spans="1:16">
      <c r="A1258" t="s">
        <v>1286</v>
      </c>
      <c r="B1258" s="2">
        <v>45779</v>
      </c>
      <c r="C1258" t="s">
        <v>723</v>
      </c>
      <c r="D1258" t="s">
        <v>23</v>
      </c>
      <c r="E1258" t="s">
        <v>24</v>
      </c>
      <c r="F1258" t="s">
        <v>41</v>
      </c>
      <c r="G1258" t="s">
        <v>21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87.5</v>
      </c>
    </row>
    <row r="1259" spans="1:16">
      <c r="A1259" t="s">
        <v>1287</v>
      </c>
      <c r="B1259" s="2">
        <v>45724</v>
      </c>
      <c r="C1259" t="s">
        <v>723</v>
      </c>
      <c r="D1259" t="s">
        <v>32</v>
      </c>
      <c r="E1259" t="s">
        <v>19</v>
      </c>
      <c r="F1259" t="s">
        <v>41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48.5</v>
      </c>
    </row>
    <row r="1260" spans="1:16">
      <c r="A1260" t="s">
        <v>1288</v>
      </c>
      <c r="B1260" s="2">
        <v>45684</v>
      </c>
      <c r="C1260" t="s">
        <v>723</v>
      </c>
      <c r="D1260" t="s">
        <v>28</v>
      </c>
      <c r="E1260" t="s">
        <v>19</v>
      </c>
      <c r="G1260" t="s">
        <v>26</v>
      </c>
      <c r="H1260">
        <v>1</v>
      </c>
      <c r="I1260">
        <v>1</v>
      </c>
      <c r="J1260">
        <v>1</v>
      </c>
      <c r="K1260">
        <v>1</v>
      </c>
      <c r="L1260">
        <v>420.27</v>
      </c>
      <c r="M1260">
        <v>0</v>
      </c>
      <c r="N1260">
        <v>0</v>
      </c>
      <c r="O1260">
        <v>6</v>
      </c>
      <c r="P1260">
        <v>58.4</v>
      </c>
    </row>
    <row r="1261" spans="1:16">
      <c r="A1261" t="s">
        <v>1289</v>
      </c>
      <c r="B1261" s="2">
        <v>45774</v>
      </c>
      <c r="C1261" t="s">
        <v>723</v>
      </c>
      <c r="D1261" t="s">
        <v>23</v>
      </c>
      <c r="E1261" t="s">
        <v>24</v>
      </c>
      <c r="F1261" t="s">
        <v>29</v>
      </c>
      <c r="G1261" t="s">
        <v>26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59.5</v>
      </c>
    </row>
    <row r="1262" spans="1:16">
      <c r="A1262" t="s">
        <v>1290</v>
      </c>
      <c r="B1262" s="2">
        <v>45673</v>
      </c>
      <c r="C1262" t="s">
        <v>723</v>
      </c>
      <c r="D1262" t="s">
        <v>23</v>
      </c>
      <c r="E1262" t="s">
        <v>19</v>
      </c>
      <c r="F1262" t="s">
        <v>29</v>
      </c>
      <c r="G1262" t="s">
        <v>21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93.2</v>
      </c>
    </row>
    <row r="1263" spans="1:16">
      <c r="A1263" t="s">
        <v>1291</v>
      </c>
      <c r="B1263" s="2">
        <v>45675</v>
      </c>
      <c r="C1263" t="s">
        <v>723</v>
      </c>
      <c r="D1263" t="s">
        <v>23</v>
      </c>
      <c r="E1263" t="s">
        <v>19</v>
      </c>
      <c r="F1263" t="s">
        <v>29</v>
      </c>
      <c r="G1263" t="s">
        <v>21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59</v>
      </c>
    </row>
    <row r="1264" spans="1:16">
      <c r="A1264" t="s">
        <v>1292</v>
      </c>
      <c r="B1264" s="2">
        <v>45737</v>
      </c>
      <c r="C1264" t="s">
        <v>723</v>
      </c>
      <c r="D1264" t="s">
        <v>18</v>
      </c>
      <c r="E1264" t="s">
        <v>24</v>
      </c>
      <c r="F1264" t="s">
        <v>25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37</v>
      </c>
    </row>
    <row r="1265" spans="1:16">
      <c r="A1265" t="s">
        <v>1293</v>
      </c>
      <c r="B1265" s="2">
        <v>45749</v>
      </c>
      <c r="C1265" t="s">
        <v>723</v>
      </c>
      <c r="D1265" t="s">
        <v>18</v>
      </c>
      <c r="E1265" t="s">
        <v>19</v>
      </c>
      <c r="F1265" t="s">
        <v>29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47.5</v>
      </c>
    </row>
    <row r="1266" spans="1:16">
      <c r="A1266" t="s">
        <v>1294</v>
      </c>
      <c r="B1266" s="2">
        <v>45704</v>
      </c>
      <c r="C1266" t="s">
        <v>723</v>
      </c>
      <c r="D1266" t="s">
        <v>23</v>
      </c>
      <c r="E1266" t="s">
        <v>19</v>
      </c>
      <c r="F1266" t="s">
        <v>25</v>
      </c>
      <c r="G1266" t="s">
        <v>26</v>
      </c>
      <c r="H1266">
        <v>1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P1266">
        <v>78.7</v>
      </c>
    </row>
    <row r="1267" spans="1:16">
      <c r="A1267" t="s">
        <v>1295</v>
      </c>
      <c r="B1267" s="2">
        <v>45706</v>
      </c>
      <c r="C1267" t="s">
        <v>723</v>
      </c>
      <c r="D1267" t="s">
        <v>18</v>
      </c>
      <c r="E1267" t="s">
        <v>24</v>
      </c>
      <c r="F1267" t="s">
        <v>41</v>
      </c>
      <c r="G1267" t="s">
        <v>26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49.6</v>
      </c>
    </row>
    <row r="1268" spans="1:16">
      <c r="A1268" t="s">
        <v>1296</v>
      </c>
      <c r="B1268" s="2">
        <v>45666</v>
      </c>
      <c r="C1268" t="s">
        <v>723</v>
      </c>
      <c r="D1268" t="s">
        <v>28</v>
      </c>
      <c r="E1268" t="s">
        <v>24</v>
      </c>
      <c r="F1268" t="s">
        <v>25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58</v>
      </c>
    </row>
    <row r="1269" spans="1:16">
      <c r="A1269" t="s">
        <v>1297</v>
      </c>
      <c r="B1269" s="2">
        <v>45706</v>
      </c>
      <c r="C1269" t="s">
        <v>723</v>
      </c>
      <c r="D1269" t="s">
        <v>18</v>
      </c>
      <c r="E1269" t="s">
        <v>19</v>
      </c>
      <c r="F1269" t="s">
        <v>29</v>
      </c>
      <c r="G1269" t="s">
        <v>26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P1269">
        <v>54.4</v>
      </c>
    </row>
    <row r="1270" spans="1:16">
      <c r="A1270" t="s">
        <v>1298</v>
      </c>
      <c r="B1270" s="2">
        <v>45667</v>
      </c>
      <c r="C1270" t="s">
        <v>723</v>
      </c>
      <c r="D1270" t="s">
        <v>28</v>
      </c>
      <c r="E1270" t="s">
        <v>24</v>
      </c>
      <c r="F1270" t="s">
        <v>39</v>
      </c>
      <c r="G1270" t="s">
        <v>26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33.700000000000003</v>
      </c>
    </row>
    <row r="1271" spans="1:16">
      <c r="A1271" t="s">
        <v>1299</v>
      </c>
      <c r="B1271" s="2">
        <v>45724</v>
      </c>
      <c r="C1271" t="s">
        <v>723</v>
      </c>
      <c r="D1271" t="s">
        <v>23</v>
      </c>
      <c r="E1271" t="s">
        <v>24</v>
      </c>
      <c r="F1271" t="s">
        <v>20</v>
      </c>
      <c r="G1271" t="s">
        <v>26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72.7</v>
      </c>
    </row>
    <row r="1272" spans="1:16">
      <c r="A1272" t="s">
        <v>1300</v>
      </c>
      <c r="B1272" s="2">
        <v>45763</v>
      </c>
      <c r="C1272" t="s">
        <v>723</v>
      </c>
      <c r="D1272" t="s">
        <v>28</v>
      </c>
      <c r="E1272" t="s">
        <v>19</v>
      </c>
      <c r="F1272" t="s">
        <v>29</v>
      </c>
      <c r="G1272" t="s">
        <v>21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64.7</v>
      </c>
    </row>
    <row r="1273" spans="1:16">
      <c r="A1273" t="s">
        <v>1301</v>
      </c>
      <c r="B1273" s="2">
        <v>45707</v>
      </c>
      <c r="C1273" t="s">
        <v>723</v>
      </c>
      <c r="D1273" t="s">
        <v>23</v>
      </c>
      <c r="E1273" t="s">
        <v>19</v>
      </c>
      <c r="F1273" t="s">
        <v>29</v>
      </c>
      <c r="G1273" t="s">
        <v>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P1273">
        <v>48.6</v>
      </c>
    </row>
    <row r="1274" spans="1:16">
      <c r="A1274" t="s">
        <v>1302</v>
      </c>
      <c r="B1274" s="2">
        <v>45732</v>
      </c>
      <c r="C1274" t="s">
        <v>723</v>
      </c>
      <c r="D1274" t="s">
        <v>28</v>
      </c>
      <c r="E1274" t="s">
        <v>19</v>
      </c>
      <c r="F1274" t="s">
        <v>41</v>
      </c>
      <c r="G1274" t="s">
        <v>26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66.2</v>
      </c>
    </row>
    <row r="1275" spans="1:16">
      <c r="A1275" t="s">
        <v>1303</v>
      </c>
      <c r="B1275" s="2">
        <v>45691</v>
      </c>
      <c r="C1275" t="s">
        <v>723</v>
      </c>
      <c r="D1275" t="s">
        <v>23</v>
      </c>
      <c r="F1275" t="s">
        <v>39</v>
      </c>
      <c r="G1275" t="s">
        <v>21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P1275">
        <v>60.7</v>
      </c>
    </row>
    <row r="1276" spans="1:16">
      <c r="A1276" t="s">
        <v>1304</v>
      </c>
      <c r="B1276" s="2">
        <v>45728</v>
      </c>
      <c r="C1276" t="s">
        <v>723</v>
      </c>
      <c r="D1276" t="s">
        <v>23</v>
      </c>
      <c r="E1276" t="s">
        <v>24</v>
      </c>
      <c r="F1276" t="s">
        <v>29</v>
      </c>
      <c r="G1276" t="s">
        <v>21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P1276">
        <v>36.5</v>
      </c>
    </row>
    <row r="1277" spans="1:16">
      <c r="A1277" t="s">
        <v>1305</v>
      </c>
      <c r="B1277" s="2">
        <v>45786</v>
      </c>
      <c r="C1277" t="s">
        <v>723</v>
      </c>
      <c r="D1277" t="s">
        <v>23</v>
      </c>
      <c r="E1277" t="s">
        <v>24</v>
      </c>
      <c r="F1277" t="s">
        <v>41</v>
      </c>
      <c r="G1277" t="s">
        <v>26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3</v>
      </c>
      <c r="N1277">
        <v>0</v>
      </c>
      <c r="P1277">
        <v>69.7</v>
      </c>
    </row>
    <row r="1278" spans="1:16">
      <c r="A1278" t="s">
        <v>1306</v>
      </c>
      <c r="B1278" s="2">
        <v>45676</v>
      </c>
      <c r="C1278" t="s">
        <v>723</v>
      </c>
      <c r="D1278" t="s">
        <v>32</v>
      </c>
      <c r="E1278" t="s">
        <v>19</v>
      </c>
      <c r="F1278" t="s">
        <v>41</v>
      </c>
      <c r="G1278" t="s">
        <v>30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81.8</v>
      </c>
    </row>
    <row r="1279" spans="1:16">
      <c r="A1279" t="s">
        <v>1307</v>
      </c>
      <c r="B1279" s="2">
        <v>45681</v>
      </c>
      <c r="C1279" t="s">
        <v>723</v>
      </c>
      <c r="D1279" t="s">
        <v>23</v>
      </c>
      <c r="E1279" t="s">
        <v>24</v>
      </c>
      <c r="F1279" t="s">
        <v>39</v>
      </c>
      <c r="G1279" t="s">
        <v>26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1</v>
      </c>
      <c r="N1279">
        <v>0</v>
      </c>
      <c r="P1279">
        <v>78.3</v>
      </c>
    </row>
    <row r="1280" spans="1:16">
      <c r="A1280" t="s">
        <v>1308</v>
      </c>
      <c r="B1280" s="2">
        <v>45719</v>
      </c>
      <c r="C1280" t="s">
        <v>723</v>
      </c>
      <c r="D1280" t="s">
        <v>28</v>
      </c>
      <c r="E1280" t="s">
        <v>24</v>
      </c>
      <c r="F1280" t="s">
        <v>39</v>
      </c>
      <c r="G1280" t="s">
        <v>26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79.400000000000006</v>
      </c>
    </row>
    <row r="1281" spans="1:16">
      <c r="A1281" t="s">
        <v>1309</v>
      </c>
      <c r="B1281" s="2">
        <v>45804</v>
      </c>
      <c r="C1281" t="s">
        <v>723</v>
      </c>
      <c r="D1281" t="s">
        <v>18</v>
      </c>
      <c r="E1281" t="s">
        <v>19</v>
      </c>
      <c r="F1281" t="s">
        <v>39</v>
      </c>
      <c r="G1281" t="s">
        <v>26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P1281">
        <v>54.9</v>
      </c>
    </row>
    <row r="1282" spans="1:16">
      <c r="A1282" t="s">
        <v>1310</v>
      </c>
      <c r="B1282" s="2">
        <v>45770</v>
      </c>
      <c r="C1282" t="s">
        <v>723</v>
      </c>
      <c r="D1282" t="s">
        <v>23</v>
      </c>
      <c r="E1282" t="s">
        <v>19</v>
      </c>
      <c r="F1282" t="s">
        <v>25</v>
      </c>
      <c r="G1282" t="s">
        <v>21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P1282">
        <v>54.9</v>
      </c>
    </row>
    <row r="1283" spans="1:16">
      <c r="A1283" t="s">
        <v>1311</v>
      </c>
      <c r="B1283" s="2">
        <v>45698</v>
      </c>
      <c r="C1283" t="s">
        <v>723</v>
      </c>
      <c r="D1283" t="s">
        <v>28</v>
      </c>
      <c r="E1283" t="s">
        <v>19</v>
      </c>
      <c r="F1283" t="s">
        <v>41</v>
      </c>
      <c r="G1283" t="s">
        <v>26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28.7</v>
      </c>
    </row>
    <row r="1284" spans="1:16">
      <c r="A1284" t="s">
        <v>1312</v>
      </c>
      <c r="B1284" s="2">
        <v>45699</v>
      </c>
      <c r="C1284" t="s">
        <v>723</v>
      </c>
      <c r="D1284" t="s">
        <v>18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P1284">
        <v>68.8</v>
      </c>
    </row>
    <row r="1285" spans="1:16">
      <c r="A1285" t="s">
        <v>1313</v>
      </c>
      <c r="B1285" s="2">
        <v>45678</v>
      </c>
      <c r="C1285" t="s">
        <v>723</v>
      </c>
      <c r="D1285" t="s">
        <v>28</v>
      </c>
      <c r="E1285" t="s">
        <v>19</v>
      </c>
      <c r="F1285" t="s">
        <v>29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43.5</v>
      </c>
    </row>
    <row r="1286" spans="1:16">
      <c r="A1286" t="s">
        <v>1314</v>
      </c>
      <c r="B1286" s="2">
        <v>45690</v>
      </c>
      <c r="C1286" t="s">
        <v>723</v>
      </c>
      <c r="D1286" t="s">
        <v>23</v>
      </c>
      <c r="E1286" t="s">
        <v>19</v>
      </c>
      <c r="F1286" t="s">
        <v>41</v>
      </c>
      <c r="G1286" t="s">
        <v>26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62.6</v>
      </c>
    </row>
    <row r="1287" spans="1:16">
      <c r="A1287" t="s">
        <v>1315</v>
      </c>
      <c r="B1287" s="2">
        <v>45690</v>
      </c>
      <c r="C1287" t="s">
        <v>723</v>
      </c>
      <c r="D1287" t="s">
        <v>23</v>
      </c>
      <c r="E1287" t="s">
        <v>24</v>
      </c>
      <c r="F1287" t="s">
        <v>25</v>
      </c>
      <c r="G1287" t="s">
        <v>26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P1287">
        <v>54.1</v>
      </c>
    </row>
    <row r="1288" spans="1:16">
      <c r="A1288" t="s">
        <v>1316</v>
      </c>
      <c r="B1288" s="2">
        <v>45714</v>
      </c>
      <c r="C1288" t="s">
        <v>723</v>
      </c>
      <c r="D1288" t="s">
        <v>23</v>
      </c>
      <c r="E1288" t="s">
        <v>34</v>
      </c>
      <c r="F1288" t="s">
        <v>41</v>
      </c>
      <c r="G1288" t="s">
        <v>26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P1288">
        <v>80.099999999999994</v>
      </c>
    </row>
    <row r="1289" spans="1:16">
      <c r="A1289" t="s">
        <v>1317</v>
      </c>
      <c r="B1289" s="2">
        <v>45769</v>
      </c>
      <c r="C1289" t="s">
        <v>723</v>
      </c>
      <c r="D1289" t="s">
        <v>18</v>
      </c>
      <c r="E1289" t="s">
        <v>24</v>
      </c>
      <c r="F1289" t="s">
        <v>41</v>
      </c>
      <c r="G1289" t="s">
        <v>30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69.5</v>
      </c>
    </row>
    <row r="1290" spans="1:16">
      <c r="A1290" t="s">
        <v>1318</v>
      </c>
      <c r="B1290" s="2">
        <v>45727</v>
      </c>
      <c r="C1290" t="s">
        <v>723</v>
      </c>
      <c r="D1290" t="s">
        <v>18</v>
      </c>
      <c r="E1290" t="s">
        <v>19</v>
      </c>
      <c r="F1290" t="s">
        <v>25</v>
      </c>
      <c r="G1290" t="s">
        <v>21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</v>
      </c>
      <c r="N1290">
        <v>0</v>
      </c>
      <c r="P1290">
        <v>46.6</v>
      </c>
    </row>
    <row r="1291" spans="1:16">
      <c r="A1291" t="s">
        <v>1319</v>
      </c>
      <c r="B1291" s="2">
        <v>45785</v>
      </c>
      <c r="C1291" t="s">
        <v>723</v>
      </c>
      <c r="D1291" t="s">
        <v>32</v>
      </c>
      <c r="E1291" t="s">
        <v>24</v>
      </c>
      <c r="F1291" t="s">
        <v>25</v>
      </c>
      <c r="G1291" t="s">
        <v>30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P1291">
        <v>54.9</v>
      </c>
    </row>
    <row r="1292" spans="1:16">
      <c r="A1292" t="s">
        <v>1320</v>
      </c>
      <c r="B1292" s="2">
        <v>45726</v>
      </c>
      <c r="C1292" t="s">
        <v>723</v>
      </c>
      <c r="D1292" t="s">
        <v>28</v>
      </c>
      <c r="E1292" t="s">
        <v>19</v>
      </c>
      <c r="F1292" t="s">
        <v>25</v>
      </c>
      <c r="G1292" t="s">
        <v>26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100</v>
      </c>
    </row>
    <row r="1293" spans="1:16">
      <c r="A1293" t="s">
        <v>1321</v>
      </c>
      <c r="B1293" s="2">
        <v>45763</v>
      </c>
      <c r="C1293" t="s">
        <v>723</v>
      </c>
      <c r="D1293" t="s">
        <v>28</v>
      </c>
      <c r="E1293" t="s">
        <v>19</v>
      </c>
      <c r="F1293" t="s">
        <v>29</v>
      </c>
      <c r="G1293" t="s">
        <v>26</v>
      </c>
      <c r="H1293">
        <v>1</v>
      </c>
      <c r="I1293">
        <v>1</v>
      </c>
      <c r="J1293">
        <v>1</v>
      </c>
      <c r="K1293">
        <v>0</v>
      </c>
      <c r="L1293">
        <v>0</v>
      </c>
      <c r="M1293">
        <v>1</v>
      </c>
      <c r="N1293">
        <v>0</v>
      </c>
      <c r="P1293">
        <v>80.5</v>
      </c>
    </row>
    <row r="1294" spans="1:16">
      <c r="A1294" t="s">
        <v>1322</v>
      </c>
      <c r="B1294" s="2">
        <v>45717</v>
      </c>
      <c r="C1294" t="s">
        <v>723</v>
      </c>
      <c r="D1294" t="s">
        <v>23</v>
      </c>
      <c r="E1294" t="s">
        <v>34</v>
      </c>
      <c r="F1294" t="s">
        <v>25</v>
      </c>
      <c r="G1294" t="s">
        <v>21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51.2</v>
      </c>
    </row>
    <row r="1295" spans="1:16">
      <c r="A1295" t="s">
        <v>1323</v>
      </c>
      <c r="B1295" s="2">
        <v>45675</v>
      </c>
      <c r="C1295" t="s">
        <v>723</v>
      </c>
      <c r="D1295" t="s">
        <v>32</v>
      </c>
      <c r="E1295" t="s">
        <v>19</v>
      </c>
      <c r="F1295" t="s">
        <v>25</v>
      </c>
      <c r="G1295" t="s">
        <v>30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42.5</v>
      </c>
    </row>
    <row r="1296" spans="1:16">
      <c r="A1296" t="s">
        <v>1324</v>
      </c>
      <c r="B1296" s="2">
        <v>45746</v>
      </c>
      <c r="C1296" t="s">
        <v>723</v>
      </c>
      <c r="D1296" t="s">
        <v>18</v>
      </c>
      <c r="E1296" t="s">
        <v>24</v>
      </c>
      <c r="F1296" t="s">
        <v>29</v>
      </c>
      <c r="G1296" t="s">
        <v>26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72.5</v>
      </c>
    </row>
    <row r="1297" spans="1:16">
      <c r="A1297" t="s">
        <v>1325</v>
      </c>
      <c r="B1297" s="2">
        <v>45803</v>
      </c>
      <c r="C1297" t="s">
        <v>723</v>
      </c>
      <c r="D1297" t="s">
        <v>23</v>
      </c>
      <c r="E1297" t="s">
        <v>24</v>
      </c>
      <c r="F1297" t="s">
        <v>41</v>
      </c>
      <c r="G1297" t="s">
        <v>30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74.400000000000006</v>
      </c>
    </row>
    <row r="1298" spans="1:16">
      <c r="A1298" t="s">
        <v>1326</v>
      </c>
      <c r="B1298" s="2">
        <v>45735</v>
      </c>
      <c r="C1298" t="s">
        <v>723</v>
      </c>
      <c r="D1298" t="s">
        <v>28</v>
      </c>
      <c r="E1298" t="s">
        <v>19</v>
      </c>
      <c r="F1298" t="s">
        <v>41</v>
      </c>
      <c r="G1298" t="s">
        <v>26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P1298">
        <v>78.400000000000006</v>
      </c>
    </row>
    <row r="1299" spans="1:16">
      <c r="A1299" t="s">
        <v>1327</v>
      </c>
      <c r="B1299" s="2">
        <v>45744</v>
      </c>
      <c r="C1299" t="s">
        <v>723</v>
      </c>
      <c r="D1299" t="s">
        <v>18</v>
      </c>
      <c r="E1299" t="s">
        <v>19</v>
      </c>
      <c r="F1299" t="s">
        <v>39</v>
      </c>
      <c r="G1299" t="s">
        <v>26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71.5</v>
      </c>
    </row>
    <row r="1300" spans="1:16">
      <c r="A1300" t="s">
        <v>1328</v>
      </c>
      <c r="B1300" s="2">
        <v>45805</v>
      </c>
      <c r="C1300" t="s">
        <v>723</v>
      </c>
      <c r="D1300" t="s">
        <v>32</v>
      </c>
      <c r="E1300" t="s">
        <v>19</v>
      </c>
      <c r="F1300" t="s">
        <v>41</v>
      </c>
      <c r="G1300" t="s">
        <v>26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P1300">
        <v>66.7</v>
      </c>
    </row>
    <row r="1301" spans="1:16">
      <c r="A1301" t="s">
        <v>1329</v>
      </c>
      <c r="B1301" s="2">
        <v>45808</v>
      </c>
      <c r="C1301" t="s">
        <v>723</v>
      </c>
      <c r="D1301" t="s">
        <v>32</v>
      </c>
      <c r="E1301" t="s">
        <v>19</v>
      </c>
      <c r="F1301" t="s">
        <v>39</v>
      </c>
      <c r="G1301" t="s">
        <v>30</v>
      </c>
      <c r="H1301">
        <v>1</v>
      </c>
      <c r="I1301">
        <v>1</v>
      </c>
      <c r="J1301">
        <v>1</v>
      </c>
      <c r="K1301">
        <v>1</v>
      </c>
      <c r="L1301">
        <v>1496.09</v>
      </c>
      <c r="M1301">
        <v>0</v>
      </c>
      <c r="N1301">
        <v>0</v>
      </c>
      <c r="O1301">
        <v>7</v>
      </c>
      <c r="P1301">
        <v>60.4</v>
      </c>
    </row>
    <row r="1302" spans="1:16">
      <c r="A1302" t="s">
        <v>1330</v>
      </c>
      <c r="B1302" s="2">
        <v>45787</v>
      </c>
      <c r="C1302" t="s">
        <v>723</v>
      </c>
      <c r="D1302" t="s">
        <v>18</v>
      </c>
      <c r="E1302" t="s">
        <v>24</v>
      </c>
      <c r="F1302" t="s">
        <v>39</v>
      </c>
      <c r="G1302" t="s">
        <v>26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P1302">
        <v>72.900000000000006</v>
      </c>
    </row>
    <row r="1303" spans="1:16">
      <c r="A1303" t="s">
        <v>1331</v>
      </c>
      <c r="B1303" s="2">
        <v>45794</v>
      </c>
      <c r="C1303" t="s">
        <v>723</v>
      </c>
      <c r="D1303" t="s">
        <v>23</v>
      </c>
      <c r="E1303" t="s">
        <v>24</v>
      </c>
      <c r="F1303" t="s">
        <v>25</v>
      </c>
      <c r="G1303" t="s">
        <v>26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3</v>
      </c>
      <c r="N1303">
        <v>0</v>
      </c>
    </row>
    <row r="1304" spans="1:16">
      <c r="A1304" t="s">
        <v>1332</v>
      </c>
      <c r="B1304" s="2">
        <v>45675</v>
      </c>
      <c r="C1304" t="s">
        <v>723</v>
      </c>
      <c r="D1304" t="s">
        <v>32</v>
      </c>
      <c r="E1304" t="s">
        <v>24</v>
      </c>
      <c r="F1304" t="s">
        <v>25</v>
      </c>
      <c r="G1304" t="s">
        <v>30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P1304">
        <v>55.2</v>
      </c>
    </row>
    <row r="1305" spans="1:16">
      <c r="A1305" t="s">
        <v>1333</v>
      </c>
      <c r="B1305" s="2">
        <v>45781</v>
      </c>
      <c r="C1305" t="s">
        <v>723</v>
      </c>
      <c r="D1305" t="s">
        <v>23</v>
      </c>
      <c r="E1305" t="s">
        <v>24</v>
      </c>
      <c r="F1305" t="s">
        <v>41</v>
      </c>
      <c r="G1305" t="s">
        <v>26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67.8</v>
      </c>
    </row>
    <row r="1306" spans="1:16">
      <c r="A1306" t="s">
        <v>1334</v>
      </c>
      <c r="B1306" s="2">
        <v>45741</v>
      </c>
      <c r="C1306" t="s">
        <v>723</v>
      </c>
      <c r="D1306" t="s">
        <v>18</v>
      </c>
      <c r="E1306" t="s">
        <v>24</v>
      </c>
      <c r="F1306" t="s">
        <v>25</v>
      </c>
      <c r="G1306" t="s">
        <v>26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2</v>
      </c>
      <c r="N1306">
        <v>0</v>
      </c>
      <c r="P1306">
        <v>70</v>
      </c>
    </row>
    <row r="1307" spans="1:16">
      <c r="A1307" t="s">
        <v>1335</v>
      </c>
      <c r="B1307" s="2">
        <v>45715</v>
      </c>
      <c r="C1307" t="s">
        <v>723</v>
      </c>
      <c r="D1307" t="s">
        <v>18</v>
      </c>
      <c r="E1307" t="s">
        <v>24</v>
      </c>
      <c r="F1307" t="s">
        <v>41</v>
      </c>
      <c r="G1307" t="s">
        <v>21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P1307">
        <v>51.1</v>
      </c>
    </row>
    <row r="1308" spans="1:16">
      <c r="A1308" t="s">
        <v>1336</v>
      </c>
      <c r="B1308" s="2">
        <v>45671</v>
      </c>
      <c r="C1308" t="s">
        <v>723</v>
      </c>
      <c r="D1308" t="s">
        <v>23</v>
      </c>
      <c r="E1308" t="s">
        <v>24</v>
      </c>
      <c r="F1308" t="s">
        <v>29</v>
      </c>
      <c r="G1308" t="s">
        <v>21</v>
      </c>
      <c r="H1308">
        <v>1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P1308">
        <v>57</v>
      </c>
    </row>
    <row r="1309" spans="1:16">
      <c r="A1309" t="s">
        <v>1337</v>
      </c>
      <c r="B1309" s="2">
        <v>45758</v>
      </c>
      <c r="C1309" t="s">
        <v>723</v>
      </c>
      <c r="D1309" t="s">
        <v>28</v>
      </c>
      <c r="E1309" t="s">
        <v>24</v>
      </c>
      <c r="F1309" t="s">
        <v>41</v>
      </c>
      <c r="G1309" t="s">
        <v>26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P1309">
        <v>47.1</v>
      </c>
    </row>
    <row r="1310" spans="1:16">
      <c r="A1310" t="s">
        <v>1338</v>
      </c>
      <c r="B1310" s="2">
        <v>45742</v>
      </c>
      <c r="C1310" t="s">
        <v>723</v>
      </c>
      <c r="D1310" t="s">
        <v>28</v>
      </c>
      <c r="E1310" t="s">
        <v>19</v>
      </c>
      <c r="F1310" t="s">
        <v>41</v>
      </c>
      <c r="G1310" t="s">
        <v>21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30.7</v>
      </c>
    </row>
    <row r="1311" spans="1:16">
      <c r="A1311" t="s">
        <v>1339</v>
      </c>
      <c r="B1311" s="2">
        <v>45700</v>
      </c>
      <c r="C1311" t="s">
        <v>723</v>
      </c>
      <c r="D1311" t="s">
        <v>23</v>
      </c>
      <c r="E1311" t="s">
        <v>19</v>
      </c>
      <c r="F1311" t="s">
        <v>41</v>
      </c>
      <c r="G1311" t="s">
        <v>26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57.3</v>
      </c>
    </row>
    <row r="1312" spans="1:16">
      <c r="A1312" t="s">
        <v>1340</v>
      </c>
      <c r="B1312" s="2">
        <v>45706</v>
      </c>
      <c r="C1312" t="s">
        <v>723</v>
      </c>
      <c r="D1312" t="s">
        <v>23</v>
      </c>
      <c r="E1312" t="s">
        <v>34</v>
      </c>
      <c r="F1312" t="s">
        <v>29</v>
      </c>
      <c r="G1312" t="s">
        <v>21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70</v>
      </c>
    </row>
    <row r="1313" spans="1:16">
      <c r="A1313" t="s">
        <v>1341</v>
      </c>
      <c r="B1313" s="2">
        <v>45802</v>
      </c>
      <c r="C1313" t="s">
        <v>723</v>
      </c>
      <c r="D1313" t="s">
        <v>28</v>
      </c>
      <c r="E1313" t="s">
        <v>19</v>
      </c>
      <c r="F1313" t="s">
        <v>41</v>
      </c>
      <c r="G1313" t="s">
        <v>26</v>
      </c>
      <c r="H1313">
        <v>1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P1313">
        <v>59.7</v>
      </c>
    </row>
    <row r="1314" spans="1:16">
      <c r="A1314" t="s">
        <v>1342</v>
      </c>
      <c r="B1314" s="2">
        <v>45800</v>
      </c>
      <c r="C1314" t="s">
        <v>723</v>
      </c>
      <c r="D1314" t="s">
        <v>28</v>
      </c>
      <c r="E1314" t="s">
        <v>19</v>
      </c>
      <c r="F1314" t="s">
        <v>29</v>
      </c>
      <c r="G1314" t="s">
        <v>21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68.8</v>
      </c>
    </row>
    <row r="1315" spans="1:16">
      <c r="A1315" t="s">
        <v>1343</v>
      </c>
      <c r="B1315" s="2">
        <v>45673</v>
      </c>
      <c r="C1315" t="s">
        <v>723</v>
      </c>
      <c r="D1315" t="s">
        <v>18</v>
      </c>
      <c r="E1315" t="s">
        <v>19</v>
      </c>
      <c r="F1315" t="s">
        <v>25</v>
      </c>
      <c r="G1315" t="s">
        <v>26</v>
      </c>
      <c r="H1315">
        <v>1</v>
      </c>
      <c r="I1315">
        <v>1</v>
      </c>
      <c r="J1315">
        <v>1</v>
      </c>
      <c r="K1315">
        <v>1</v>
      </c>
      <c r="L1315">
        <v>428.37</v>
      </c>
      <c r="M1315">
        <v>0</v>
      </c>
      <c r="N1315">
        <v>0</v>
      </c>
      <c r="O1315">
        <v>9</v>
      </c>
      <c r="P1315">
        <v>88.3</v>
      </c>
    </row>
    <row r="1316" spans="1:16">
      <c r="A1316" t="s">
        <v>1344</v>
      </c>
      <c r="B1316" s="2">
        <v>45676</v>
      </c>
      <c r="C1316" t="s">
        <v>723</v>
      </c>
      <c r="D1316" t="s">
        <v>23</v>
      </c>
      <c r="E1316" t="s">
        <v>19</v>
      </c>
      <c r="F1316" t="s">
        <v>20</v>
      </c>
      <c r="G1316" t="s">
        <v>21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P1316">
        <v>83.4</v>
      </c>
    </row>
    <row r="1317" spans="1:16">
      <c r="A1317" t="s">
        <v>1345</v>
      </c>
      <c r="B1317" s="2">
        <v>45795</v>
      </c>
      <c r="C1317" t="s">
        <v>723</v>
      </c>
      <c r="D1317" t="s">
        <v>32</v>
      </c>
      <c r="E1317" t="s">
        <v>24</v>
      </c>
      <c r="F1317" t="s">
        <v>39</v>
      </c>
      <c r="G1317" t="s">
        <v>26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P1317">
        <v>81.599999999999994</v>
      </c>
    </row>
    <row r="1318" spans="1:16">
      <c r="A1318" t="s">
        <v>1346</v>
      </c>
      <c r="B1318" s="2">
        <v>45680</v>
      </c>
      <c r="C1318" t="s">
        <v>723</v>
      </c>
      <c r="D1318" t="s">
        <v>28</v>
      </c>
      <c r="E1318" t="s">
        <v>34</v>
      </c>
      <c r="F1318" t="s">
        <v>41</v>
      </c>
      <c r="G1318" t="s">
        <v>30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91.6</v>
      </c>
    </row>
    <row r="1319" spans="1:16">
      <c r="A1319" t="s">
        <v>1347</v>
      </c>
      <c r="B1319" s="2">
        <v>45665</v>
      </c>
      <c r="C1319" t="s">
        <v>723</v>
      </c>
      <c r="D1319" t="s">
        <v>28</v>
      </c>
      <c r="E1319" t="s">
        <v>34</v>
      </c>
      <c r="G1319" t="s">
        <v>30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1</v>
      </c>
      <c r="N1319">
        <v>0</v>
      </c>
      <c r="P1319">
        <v>61.5</v>
      </c>
    </row>
    <row r="1320" spans="1:16">
      <c r="A1320" t="s">
        <v>1348</v>
      </c>
      <c r="B1320" s="2">
        <v>45707</v>
      </c>
      <c r="C1320" t="s">
        <v>723</v>
      </c>
      <c r="D1320" t="s">
        <v>18</v>
      </c>
      <c r="E1320" t="s">
        <v>24</v>
      </c>
      <c r="F1320" t="s">
        <v>25</v>
      </c>
      <c r="G1320" t="s">
        <v>30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6">
      <c r="A1321" t="s">
        <v>1349</v>
      </c>
      <c r="B1321" s="2">
        <v>45698</v>
      </c>
      <c r="C1321" t="s">
        <v>723</v>
      </c>
      <c r="D1321" t="s">
        <v>32</v>
      </c>
      <c r="E1321" t="s">
        <v>24</v>
      </c>
      <c r="F1321" t="s">
        <v>25</v>
      </c>
      <c r="G1321" t="s">
        <v>26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P1321">
        <v>32.6</v>
      </c>
    </row>
    <row r="1322" spans="1:16">
      <c r="A1322" t="s">
        <v>1350</v>
      </c>
      <c r="B1322" s="2">
        <v>45760</v>
      </c>
      <c r="C1322" t="s">
        <v>723</v>
      </c>
      <c r="D1322" t="s">
        <v>32</v>
      </c>
      <c r="E1322" t="s">
        <v>24</v>
      </c>
      <c r="F1322" t="s">
        <v>29</v>
      </c>
      <c r="G1322" t="s">
        <v>26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73.900000000000006</v>
      </c>
    </row>
    <row r="1323" spans="1:16">
      <c r="A1323" t="s">
        <v>1351</v>
      </c>
      <c r="B1323" s="2">
        <v>45797</v>
      </c>
      <c r="C1323" t="s">
        <v>723</v>
      </c>
      <c r="D1323" t="s">
        <v>28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444.06</v>
      </c>
      <c r="M1323">
        <v>0</v>
      </c>
      <c r="N1323">
        <v>0</v>
      </c>
      <c r="O1323">
        <v>9</v>
      </c>
      <c r="P1323">
        <v>99.9</v>
      </c>
    </row>
    <row r="1324" spans="1:16">
      <c r="A1324" t="s">
        <v>1352</v>
      </c>
      <c r="B1324" s="2">
        <v>45790</v>
      </c>
      <c r="C1324" t="s">
        <v>723</v>
      </c>
      <c r="D1324" t="s">
        <v>32</v>
      </c>
      <c r="E1324" t="s">
        <v>24</v>
      </c>
      <c r="F1324" t="s">
        <v>29</v>
      </c>
      <c r="G1324" t="s">
        <v>21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1</v>
      </c>
      <c r="N1324">
        <v>0</v>
      </c>
      <c r="P1324">
        <v>62.4</v>
      </c>
    </row>
    <row r="1325" spans="1:16">
      <c r="A1325" t="s">
        <v>1353</v>
      </c>
      <c r="B1325" s="2">
        <v>45805</v>
      </c>
      <c r="C1325" t="s">
        <v>723</v>
      </c>
      <c r="D1325" t="s">
        <v>32</v>
      </c>
      <c r="E1325" t="s">
        <v>19</v>
      </c>
      <c r="F1325" t="s">
        <v>29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P1325">
        <v>46.1</v>
      </c>
    </row>
    <row r="1326" spans="1:16">
      <c r="A1326" t="s">
        <v>1354</v>
      </c>
      <c r="B1326" s="2">
        <v>45735</v>
      </c>
      <c r="C1326" t="s">
        <v>723</v>
      </c>
      <c r="D1326" t="s">
        <v>23</v>
      </c>
      <c r="E1326" t="s">
        <v>24</v>
      </c>
      <c r="F1326" t="s">
        <v>25</v>
      </c>
      <c r="G1326" t="s">
        <v>26</v>
      </c>
      <c r="H1326">
        <v>1</v>
      </c>
      <c r="I1326">
        <v>1</v>
      </c>
      <c r="J1326">
        <v>1</v>
      </c>
      <c r="K1326">
        <v>1</v>
      </c>
      <c r="L1326">
        <v>2660.21</v>
      </c>
      <c r="M1326">
        <v>0</v>
      </c>
      <c r="N1326">
        <v>0</v>
      </c>
      <c r="O1326">
        <v>3</v>
      </c>
      <c r="P1326">
        <v>73.900000000000006</v>
      </c>
    </row>
    <row r="1327" spans="1:16">
      <c r="A1327" t="s">
        <v>1355</v>
      </c>
      <c r="B1327" s="2">
        <v>45691</v>
      </c>
      <c r="C1327" t="s">
        <v>723</v>
      </c>
      <c r="D1327" t="s">
        <v>18</v>
      </c>
      <c r="E1327" t="s">
        <v>24</v>
      </c>
      <c r="F1327" t="s">
        <v>20</v>
      </c>
      <c r="G1327" t="s">
        <v>30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90</v>
      </c>
    </row>
    <row r="1328" spans="1:16">
      <c r="A1328" t="s">
        <v>1356</v>
      </c>
      <c r="B1328" s="2">
        <v>45714</v>
      </c>
      <c r="C1328" t="s">
        <v>723</v>
      </c>
      <c r="D1328" t="s">
        <v>32</v>
      </c>
      <c r="E1328" t="s">
        <v>24</v>
      </c>
      <c r="F1328" t="s">
        <v>20</v>
      </c>
      <c r="G1328" t="s">
        <v>21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P1328">
        <v>68.8</v>
      </c>
    </row>
    <row r="1329" spans="1:16">
      <c r="A1329" t="s">
        <v>1357</v>
      </c>
      <c r="B1329" s="2">
        <v>45683</v>
      </c>
      <c r="C1329" t="s">
        <v>723</v>
      </c>
      <c r="D1329" t="s">
        <v>23</v>
      </c>
      <c r="E1329" t="s">
        <v>24</v>
      </c>
      <c r="F1329" t="s">
        <v>29</v>
      </c>
      <c r="G1329" t="s">
        <v>26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66.599999999999994</v>
      </c>
    </row>
    <row r="1330" spans="1:16">
      <c r="A1330" t="s">
        <v>1358</v>
      </c>
      <c r="B1330" s="2">
        <v>45790</v>
      </c>
      <c r="C1330" t="s">
        <v>723</v>
      </c>
      <c r="D1330" t="s">
        <v>18</v>
      </c>
      <c r="E1330" t="s">
        <v>24</v>
      </c>
      <c r="F1330" t="s">
        <v>25</v>
      </c>
      <c r="G1330" t="s">
        <v>30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49.7</v>
      </c>
    </row>
    <row r="1331" spans="1:16">
      <c r="A1331" t="s">
        <v>1359</v>
      </c>
      <c r="B1331" s="2">
        <v>45690</v>
      </c>
      <c r="C1331" t="s">
        <v>723</v>
      </c>
      <c r="D1331" t="s">
        <v>32</v>
      </c>
      <c r="E1331" t="s">
        <v>24</v>
      </c>
      <c r="F1331" t="s">
        <v>29</v>
      </c>
      <c r="G1331" t="s">
        <v>21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67.900000000000006</v>
      </c>
    </row>
    <row r="1332" spans="1:16">
      <c r="A1332" t="s">
        <v>1360</v>
      </c>
      <c r="B1332" s="2">
        <v>45777</v>
      </c>
      <c r="C1332" t="s">
        <v>723</v>
      </c>
      <c r="D1332" t="s">
        <v>23</v>
      </c>
      <c r="E1332" t="s">
        <v>24</v>
      </c>
      <c r="G1332" t="s">
        <v>21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66.900000000000006</v>
      </c>
    </row>
    <row r="1333" spans="1:16">
      <c r="A1333" t="s">
        <v>1361</v>
      </c>
      <c r="B1333" s="2">
        <v>45745</v>
      </c>
      <c r="C1333" t="s">
        <v>723</v>
      </c>
      <c r="D1333" t="s">
        <v>28</v>
      </c>
      <c r="E1333" t="s">
        <v>24</v>
      </c>
      <c r="F1333" t="s">
        <v>25</v>
      </c>
      <c r="G1333" t="s">
        <v>26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46.1</v>
      </c>
    </row>
    <row r="1334" spans="1:16">
      <c r="A1334" t="s">
        <v>1362</v>
      </c>
      <c r="B1334" s="2">
        <v>45756</v>
      </c>
      <c r="C1334" t="s">
        <v>723</v>
      </c>
      <c r="D1334" t="s">
        <v>23</v>
      </c>
      <c r="E1334" t="s">
        <v>19</v>
      </c>
      <c r="F1334" t="s">
        <v>39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85.6</v>
      </c>
    </row>
    <row r="1335" spans="1:16">
      <c r="A1335" t="s">
        <v>1363</v>
      </c>
      <c r="B1335" s="2">
        <v>45679</v>
      </c>
      <c r="C1335" t="s">
        <v>723</v>
      </c>
      <c r="D1335" t="s">
        <v>32</v>
      </c>
      <c r="E1335" t="s">
        <v>34</v>
      </c>
      <c r="F1335" t="s">
        <v>25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39.6</v>
      </c>
    </row>
    <row r="1336" spans="1:16">
      <c r="A1336" t="s">
        <v>1364</v>
      </c>
      <c r="B1336" s="2">
        <v>45684</v>
      </c>
      <c r="C1336" t="s">
        <v>723</v>
      </c>
      <c r="D1336" t="s">
        <v>32</v>
      </c>
      <c r="E1336" t="s">
        <v>24</v>
      </c>
      <c r="F1336" t="s">
        <v>25</v>
      </c>
      <c r="G1336" t="s">
        <v>21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52.5</v>
      </c>
    </row>
    <row r="1337" spans="1:16">
      <c r="A1337" t="s">
        <v>1365</v>
      </c>
      <c r="B1337" s="2">
        <v>45679</v>
      </c>
      <c r="C1337" t="s">
        <v>723</v>
      </c>
      <c r="D1337" t="s">
        <v>28</v>
      </c>
      <c r="E1337" t="s">
        <v>24</v>
      </c>
      <c r="F1337" t="s">
        <v>41</v>
      </c>
      <c r="G1337" t="s">
        <v>30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73.5</v>
      </c>
    </row>
    <row r="1338" spans="1:16">
      <c r="A1338" t="s">
        <v>1366</v>
      </c>
      <c r="B1338" s="2">
        <v>45663</v>
      </c>
      <c r="C1338" t="s">
        <v>723</v>
      </c>
      <c r="D1338" t="s">
        <v>23</v>
      </c>
      <c r="E1338" t="s">
        <v>19</v>
      </c>
      <c r="F1338" t="s">
        <v>29</v>
      </c>
      <c r="G1338" t="s">
        <v>26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62.5</v>
      </c>
    </row>
    <row r="1339" spans="1:16">
      <c r="A1339" t="s">
        <v>1367</v>
      </c>
      <c r="B1339" s="2">
        <v>45763</v>
      </c>
      <c r="C1339" t="s">
        <v>723</v>
      </c>
      <c r="D1339" t="s">
        <v>32</v>
      </c>
      <c r="F1339" t="s">
        <v>25</v>
      </c>
      <c r="G1339" t="s">
        <v>26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76.900000000000006</v>
      </c>
    </row>
    <row r="1340" spans="1:16">
      <c r="A1340" t="s">
        <v>1368</v>
      </c>
      <c r="B1340" s="2">
        <v>45761</v>
      </c>
      <c r="C1340" t="s">
        <v>723</v>
      </c>
      <c r="D1340" t="s">
        <v>32</v>
      </c>
      <c r="E1340" t="s">
        <v>24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51.4</v>
      </c>
    </row>
    <row r="1341" spans="1:16">
      <c r="A1341" t="s">
        <v>1369</v>
      </c>
      <c r="B1341" s="2">
        <v>45710</v>
      </c>
      <c r="C1341" t="s">
        <v>723</v>
      </c>
      <c r="D1341" t="s">
        <v>23</v>
      </c>
      <c r="E1341" t="s">
        <v>24</v>
      </c>
      <c r="F1341" t="s">
        <v>29</v>
      </c>
      <c r="G1341" t="s">
        <v>21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59.3</v>
      </c>
    </row>
    <row r="1342" spans="1:16">
      <c r="A1342" t="s">
        <v>1370</v>
      </c>
      <c r="B1342" s="2">
        <v>45725</v>
      </c>
      <c r="C1342" t="s">
        <v>723</v>
      </c>
      <c r="D1342" t="s">
        <v>18</v>
      </c>
      <c r="E1342" t="s">
        <v>24</v>
      </c>
      <c r="F1342" t="s">
        <v>25</v>
      </c>
      <c r="G1342" t="s">
        <v>21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P1342">
        <v>74.900000000000006</v>
      </c>
    </row>
    <row r="1343" spans="1:16">
      <c r="A1343" t="s">
        <v>1371</v>
      </c>
      <c r="B1343" s="2">
        <v>45767</v>
      </c>
      <c r="C1343" t="s">
        <v>723</v>
      </c>
      <c r="D1343" t="s">
        <v>23</v>
      </c>
      <c r="E1343" t="s">
        <v>19</v>
      </c>
      <c r="F1343" t="s">
        <v>25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67</v>
      </c>
    </row>
    <row r="1344" spans="1:16">
      <c r="A1344" t="s">
        <v>1372</v>
      </c>
      <c r="B1344" s="2">
        <v>45726</v>
      </c>
      <c r="C1344" t="s">
        <v>723</v>
      </c>
      <c r="D1344" t="s">
        <v>32</v>
      </c>
      <c r="E1344" t="s">
        <v>24</v>
      </c>
      <c r="F1344" t="s">
        <v>20</v>
      </c>
      <c r="G1344" t="s">
        <v>26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63.6</v>
      </c>
    </row>
    <row r="1345" spans="1:16">
      <c r="A1345" t="s">
        <v>1373</v>
      </c>
      <c r="B1345" s="2">
        <v>45709</v>
      </c>
      <c r="C1345" t="s">
        <v>723</v>
      </c>
      <c r="D1345" t="s">
        <v>32</v>
      </c>
      <c r="E1345" t="s">
        <v>24</v>
      </c>
      <c r="F1345" t="s">
        <v>20</v>
      </c>
      <c r="G1345" t="s">
        <v>26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58.4</v>
      </c>
    </row>
    <row r="1346" spans="1:16">
      <c r="A1346" t="s">
        <v>1374</v>
      </c>
      <c r="B1346" s="2">
        <v>45663</v>
      </c>
      <c r="C1346" t="s">
        <v>723</v>
      </c>
      <c r="D1346" t="s">
        <v>18</v>
      </c>
      <c r="E1346" t="s">
        <v>19</v>
      </c>
      <c r="F1346" t="s">
        <v>41</v>
      </c>
      <c r="G1346" t="s">
        <v>26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P1346">
        <v>36.799999999999997</v>
      </c>
    </row>
    <row r="1347" spans="1:16">
      <c r="A1347" t="s">
        <v>1375</v>
      </c>
      <c r="B1347" s="2">
        <v>45764</v>
      </c>
      <c r="C1347" t="s">
        <v>723</v>
      </c>
      <c r="D1347" t="s">
        <v>32</v>
      </c>
      <c r="E1347" t="s">
        <v>24</v>
      </c>
      <c r="F1347" t="s">
        <v>25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71.599999999999994</v>
      </c>
    </row>
    <row r="1348" spans="1:16">
      <c r="A1348" t="s">
        <v>1376</v>
      </c>
      <c r="B1348" s="2">
        <v>45800</v>
      </c>
      <c r="C1348" t="s">
        <v>723</v>
      </c>
      <c r="D1348" t="s">
        <v>32</v>
      </c>
      <c r="E1348" t="s">
        <v>24</v>
      </c>
      <c r="F1348" t="s">
        <v>20</v>
      </c>
      <c r="G1348" t="s">
        <v>21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1</v>
      </c>
      <c r="N1348">
        <v>0</v>
      </c>
      <c r="P1348">
        <v>79.7</v>
      </c>
    </row>
    <row r="1349" spans="1:16">
      <c r="A1349" t="s">
        <v>1377</v>
      </c>
      <c r="B1349" s="2">
        <v>45730</v>
      </c>
      <c r="C1349" t="s">
        <v>723</v>
      </c>
      <c r="D1349" t="s">
        <v>23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P1349">
        <v>56.5</v>
      </c>
    </row>
    <row r="1350" spans="1:16">
      <c r="A1350" t="s">
        <v>1378</v>
      </c>
      <c r="B1350" s="2">
        <v>45768</v>
      </c>
      <c r="C1350" t="s">
        <v>723</v>
      </c>
      <c r="D1350" t="s">
        <v>18</v>
      </c>
      <c r="E1350" t="s">
        <v>24</v>
      </c>
      <c r="F1350" t="s">
        <v>41</v>
      </c>
      <c r="G1350" t="s">
        <v>30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P1350">
        <v>44.7</v>
      </c>
    </row>
    <row r="1351" spans="1:16">
      <c r="A1351" t="s">
        <v>1379</v>
      </c>
      <c r="B1351" s="2">
        <v>45660</v>
      </c>
      <c r="C1351" t="s">
        <v>723</v>
      </c>
      <c r="D1351" t="s">
        <v>32</v>
      </c>
      <c r="E1351" t="s">
        <v>24</v>
      </c>
      <c r="F1351" t="s">
        <v>41</v>
      </c>
      <c r="G1351" t="s">
        <v>26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1</v>
      </c>
      <c r="N1351">
        <v>0</v>
      </c>
      <c r="P1351">
        <v>66</v>
      </c>
    </row>
    <row r="1352" spans="1:16">
      <c r="A1352" t="s">
        <v>1380</v>
      </c>
      <c r="B1352" s="2">
        <v>45786</v>
      </c>
      <c r="C1352" t="s">
        <v>723</v>
      </c>
      <c r="D1352" t="s">
        <v>18</v>
      </c>
      <c r="E1352" t="s">
        <v>19</v>
      </c>
      <c r="F1352" t="s">
        <v>25</v>
      </c>
      <c r="G1352" t="s">
        <v>21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P1352">
        <v>73</v>
      </c>
    </row>
    <row r="1353" spans="1:16">
      <c r="A1353" t="s">
        <v>1381</v>
      </c>
      <c r="B1353" s="2">
        <v>45799</v>
      </c>
      <c r="C1353" t="s">
        <v>723</v>
      </c>
      <c r="D1353" t="s">
        <v>32</v>
      </c>
      <c r="E1353" t="s">
        <v>24</v>
      </c>
      <c r="F1353" t="s">
        <v>25</v>
      </c>
      <c r="G1353" t="s">
        <v>21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>
        <v>0</v>
      </c>
      <c r="P1353">
        <v>72.5</v>
      </c>
    </row>
    <row r="1354" spans="1:16">
      <c r="A1354" t="s">
        <v>1382</v>
      </c>
      <c r="B1354" s="2">
        <v>45784</v>
      </c>
      <c r="C1354" t="s">
        <v>723</v>
      </c>
      <c r="D1354" t="s">
        <v>32</v>
      </c>
      <c r="E1354" t="s">
        <v>19</v>
      </c>
      <c r="F1354" t="s">
        <v>29</v>
      </c>
      <c r="G1354" t="s">
        <v>26</v>
      </c>
      <c r="H1354">
        <v>1</v>
      </c>
      <c r="I1354">
        <v>1</v>
      </c>
      <c r="J1354">
        <v>1</v>
      </c>
      <c r="K1354">
        <v>1</v>
      </c>
      <c r="L1354">
        <v>323.60000000000002</v>
      </c>
      <c r="M1354">
        <v>0</v>
      </c>
      <c r="N1354">
        <v>0</v>
      </c>
      <c r="O1354">
        <v>6</v>
      </c>
      <c r="P1354">
        <v>100</v>
      </c>
    </row>
    <row r="1355" spans="1:16">
      <c r="A1355" t="s">
        <v>1383</v>
      </c>
      <c r="B1355" s="2">
        <v>45696</v>
      </c>
      <c r="C1355" t="s">
        <v>723</v>
      </c>
      <c r="D1355" t="s">
        <v>28</v>
      </c>
      <c r="E1355" t="s">
        <v>24</v>
      </c>
      <c r="F1355" t="s">
        <v>41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P1355">
        <v>90.5</v>
      </c>
    </row>
    <row r="1356" spans="1:16">
      <c r="A1356" t="s">
        <v>1384</v>
      </c>
      <c r="B1356" s="2">
        <v>45750</v>
      </c>
      <c r="C1356" t="s">
        <v>723</v>
      </c>
      <c r="D1356" t="s">
        <v>18</v>
      </c>
      <c r="E1356" t="s">
        <v>34</v>
      </c>
      <c r="F1356" t="s">
        <v>41</v>
      </c>
      <c r="G1356" t="s">
        <v>21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70.2</v>
      </c>
    </row>
    <row r="1357" spans="1:16">
      <c r="A1357" t="s">
        <v>1385</v>
      </c>
      <c r="B1357" s="2">
        <v>45764</v>
      </c>
      <c r="C1357" t="s">
        <v>723</v>
      </c>
      <c r="D1357" t="s">
        <v>28</v>
      </c>
      <c r="E1357" t="s">
        <v>19</v>
      </c>
      <c r="F1357" t="s">
        <v>29</v>
      </c>
      <c r="G1357" t="s">
        <v>26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P1357">
        <v>67.099999999999994</v>
      </c>
    </row>
    <row r="1358" spans="1:16">
      <c r="A1358" t="s">
        <v>1386</v>
      </c>
      <c r="B1358" s="2">
        <v>45781</v>
      </c>
      <c r="C1358" t="s">
        <v>723</v>
      </c>
      <c r="D1358" t="s">
        <v>28</v>
      </c>
      <c r="E1358" t="s">
        <v>24</v>
      </c>
      <c r="F1358" t="s">
        <v>25</v>
      </c>
      <c r="G1358" t="s">
        <v>26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P1358">
        <v>54.5</v>
      </c>
    </row>
    <row r="1359" spans="1:16">
      <c r="A1359" t="s">
        <v>1387</v>
      </c>
      <c r="B1359" s="2">
        <v>45788</v>
      </c>
      <c r="C1359" t="s">
        <v>723</v>
      </c>
      <c r="D1359" t="s">
        <v>23</v>
      </c>
      <c r="E1359" t="s">
        <v>19</v>
      </c>
      <c r="F1359" t="s">
        <v>25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63.4</v>
      </c>
    </row>
    <row r="1360" spans="1:16">
      <c r="A1360" t="s">
        <v>1388</v>
      </c>
      <c r="B1360" s="2">
        <v>45717</v>
      </c>
      <c r="C1360" t="s">
        <v>723</v>
      </c>
      <c r="D1360" t="s">
        <v>18</v>
      </c>
      <c r="E1360" t="s">
        <v>19</v>
      </c>
      <c r="G1360" t="s">
        <v>26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P1360">
        <v>84.3</v>
      </c>
    </row>
    <row r="1361" spans="1:16">
      <c r="A1361" t="s">
        <v>1389</v>
      </c>
      <c r="B1361" s="2">
        <v>45708</v>
      </c>
      <c r="C1361" t="s">
        <v>723</v>
      </c>
      <c r="D1361" t="s">
        <v>23</v>
      </c>
      <c r="E1361" t="s">
        <v>19</v>
      </c>
      <c r="F1361" t="s">
        <v>25</v>
      </c>
      <c r="G1361" t="s">
        <v>26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P1361">
        <v>55</v>
      </c>
    </row>
    <row r="1362" spans="1:16">
      <c r="A1362" t="s">
        <v>1390</v>
      </c>
      <c r="B1362" s="2">
        <v>45786</v>
      </c>
      <c r="C1362" t="s">
        <v>723</v>
      </c>
      <c r="D1362" t="s">
        <v>23</v>
      </c>
      <c r="E1362" t="s">
        <v>24</v>
      </c>
      <c r="F1362" t="s">
        <v>41</v>
      </c>
      <c r="G1362" t="s">
        <v>26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63.6</v>
      </c>
    </row>
    <row r="1363" spans="1:16">
      <c r="A1363" t="s">
        <v>1391</v>
      </c>
      <c r="B1363" s="2">
        <v>45777</v>
      </c>
      <c r="C1363" t="s">
        <v>723</v>
      </c>
      <c r="D1363" t="s">
        <v>23</v>
      </c>
      <c r="E1363" t="s">
        <v>24</v>
      </c>
      <c r="F1363" t="s">
        <v>25</v>
      </c>
      <c r="G1363" t="s">
        <v>26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55.5</v>
      </c>
    </row>
    <row r="1364" spans="1:16">
      <c r="A1364" t="s">
        <v>1392</v>
      </c>
      <c r="B1364" s="2">
        <v>45664</v>
      </c>
      <c r="C1364" t="s">
        <v>723</v>
      </c>
      <c r="D1364" t="s">
        <v>32</v>
      </c>
      <c r="E1364" t="s">
        <v>24</v>
      </c>
      <c r="F1364" t="s">
        <v>41</v>
      </c>
      <c r="G1364" t="s">
        <v>21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P1364">
        <v>50.5</v>
      </c>
    </row>
    <row r="1365" spans="1:16">
      <c r="A1365" t="s">
        <v>1393</v>
      </c>
      <c r="B1365" s="2">
        <v>45777</v>
      </c>
      <c r="C1365" t="s">
        <v>723</v>
      </c>
      <c r="D1365" t="s">
        <v>18</v>
      </c>
      <c r="E1365" t="s">
        <v>24</v>
      </c>
      <c r="F1365" t="s">
        <v>41</v>
      </c>
      <c r="G1365" t="s">
        <v>21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45.3</v>
      </c>
    </row>
    <row r="1366" spans="1:16">
      <c r="A1366" t="s">
        <v>1242</v>
      </c>
      <c r="B1366" s="2">
        <v>45712</v>
      </c>
      <c r="C1366" t="s">
        <v>723</v>
      </c>
      <c r="D1366" t="s">
        <v>23</v>
      </c>
      <c r="E1366" t="s">
        <v>24</v>
      </c>
      <c r="F1366" t="s">
        <v>25</v>
      </c>
      <c r="G1366" t="s">
        <v>21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62</v>
      </c>
    </row>
    <row r="1367" spans="1:16">
      <c r="A1367" t="s">
        <v>1395</v>
      </c>
      <c r="B1367" s="2">
        <v>45728</v>
      </c>
      <c r="C1367" t="s">
        <v>723</v>
      </c>
      <c r="D1367" t="s">
        <v>32</v>
      </c>
      <c r="E1367" t="s">
        <v>24</v>
      </c>
      <c r="F1367" t="s">
        <v>29</v>
      </c>
      <c r="G1367" t="s">
        <v>30</v>
      </c>
      <c r="H1367">
        <v>1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P1367">
        <v>88.2</v>
      </c>
    </row>
    <row r="1368" spans="1:16">
      <c r="A1368" t="s">
        <v>1396</v>
      </c>
      <c r="B1368" s="2">
        <v>45705</v>
      </c>
      <c r="C1368" t="s">
        <v>723</v>
      </c>
      <c r="D1368" t="s">
        <v>18</v>
      </c>
      <c r="E1368" t="s">
        <v>24</v>
      </c>
      <c r="F1368" t="s">
        <v>25</v>
      </c>
      <c r="G1368" t="s">
        <v>30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P1368">
        <v>51.8</v>
      </c>
    </row>
    <row r="1369" spans="1:16">
      <c r="A1369" t="s">
        <v>1397</v>
      </c>
      <c r="B1369" s="2">
        <v>45804</v>
      </c>
      <c r="C1369" t="s">
        <v>723</v>
      </c>
      <c r="D1369" t="s">
        <v>18</v>
      </c>
      <c r="E1369" t="s">
        <v>19</v>
      </c>
      <c r="F1369" t="s">
        <v>25</v>
      </c>
      <c r="G1369" t="s">
        <v>21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87.9</v>
      </c>
    </row>
    <row r="1370" spans="1:16">
      <c r="A1370" t="s">
        <v>1398</v>
      </c>
      <c r="B1370" s="2">
        <v>45787</v>
      </c>
      <c r="C1370" t="s">
        <v>723</v>
      </c>
      <c r="D1370" t="s">
        <v>32</v>
      </c>
      <c r="E1370" t="s">
        <v>24</v>
      </c>
      <c r="F1370" t="s">
        <v>41</v>
      </c>
      <c r="G1370" t="s">
        <v>30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2</v>
      </c>
      <c r="N1370">
        <v>0</v>
      </c>
      <c r="P1370">
        <v>70.5</v>
      </c>
    </row>
    <row r="1371" spans="1:16">
      <c r="A1371" t="s">
        <v>1399</v>
      </c>
      <c r="B1371" s="2">
        <v>45677</v>
      </c>
      <c r="C1371" t="s">
        <v>723</v>
      </c>
      <c r="D1371" t="s">
        <v>18</v>
      </c>
      <c r="E1371" t="s">
        <v>24</v>
      </c>
      <c r="F1371" t="s">
        <v>25</v>
      </c>
      <c r="G1371" t="s">
        <v>21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2</v>
      </c>
      <c r="N1371">
        <v>0</v>
      </c>
      <c r="P1371">
        <v>58.5</v>
      </c>
    </row>
    <row r="1372" spans="1:16">
      <c r="A1372" t="s">
        <v>1400</v>
      </c>
      <c r="B1372" s="2">
        <v>45676</v>
      </c>
      <c r="C1372" t="s">
        <v>723</v>
      </c>
      <c r="D1372" t="s">
        <v>28</v>
      </c>
      <c r="E1372" t="s">
        <v>24</v>
      </c>
      <c r="F1372" t="s">
        <v>39</v>
      </c>
      <c r="G1372" t="s">
        <v>26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P1372">
        <v>65.599999999999994</v>
      </c>
    </row>
    <row r="1373" spans="1:16">
      <c r="A1373" t="s">
        <v>1401</v>
      </c>
      <c r="B1373" s="2">
        <v>45723</v>
      </c>
      <c r="C1373" t="s">
        <v>723</v>
      </c>
      <c r="D1373" t="s">
        <v>23</v>
      </c>
      <c r="E1373" t="s">
        <v>19</v>
      </c>
      <c r="F1373" t="s">
        <v>29</v>
      </c>
      <c r="G1373" t="s">
        <v>21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P1373">
        <v>62.7</v>
      </c>
    </row>
    <row r="1374" spans="1:16">
      <c r="A1374" t="s">
        <v>1402</v>
      </c>
      <c r="B1374" s="2">
        <v>45690</v>
      </c>
      <c r="C1374" t="s">
        <v>723</v>
      </c>
      <c r="D1374" t="s">
        <v>28</v>
      </c>
      <c r="E1374" t="s">
        <v>24</v>
      </c>
      <c r="F1374" t="s">
        <v>25</v>
      </c>
      <c r="G1374" t="s">
        <v>26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P1374">
        <v>50.9</v>
      </c>
    </row>
    <row r="1375" spans="1:16">
      <c r="A1375" t="s">
        <v>1403</v>
      </c>
      <c r="B1375" s="2">
        <v>45723</v>
      </c>
      <c r="C1375" t="s">
        <v>723</v>
      </c>
      <c r="D1375" t="s">
        <v>18</v>
      </c>
      <c r="E1375" t="s">
        <v>24</v>
      </c>
      <c r="F1375" t="s">
        <v>25</v>
      </c>
      <c r="G1375" t="s">
        <v>26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P1375">
        <v>60.6</v>
      </c>
    </row>
    <row r="1376" spans="1:16">
      <c r="A1376" t="s">
        <v>1404</v>
      </c>
      <c r="B1376" s="2">
        <v>45746</v>
      </c>
      <c r="C1376" t="s">
        <v>723</v>
      </c>
      <c r="D1376" t="s">
        <v>28</v>
      </c>
      <c r="E1376" t="s">
        <v>19</v>
      </c>
      <c r="F1376" t="s">
        <v>25</v>
      </c>
      <c r="G1376" t="s">
        <v>26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P1376">
        <v>76.599999999999994</v>
      </c>
    </row>
    <row r="1377" spans="1:16">
      <c r="A1377" t="s">
        <v>1405</v>
      </c>
      <c r="B1377" s="2">
        <v>45782</v>
      </c>
      <c r="C1377" t="s">
        <v>723</v>
      </c>
      <c r="D1377" t="s">
        <v>28</v>
      </c>
      <c r="E1377" t="s">
        <v>19</v>
      </c>
      <c r="F1377" t="s">
        <v>29</v>
      </c>
      <c r="G1377" t="s">
        <v>26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P1377">
        <v>54.4</v>
      </c>
    </row>
    <row r="1378" spans="1:16">
      <c r="A1378" t="s">
        <v>1406</v>
      </c>
      <c r="B1378" s="2">
        <v>45758</v>
      </c>
      <c r="C1378" t="s">
        <v>723</v>
      </c>
      <c r="D1378" t="s">
        <v>32</v>
      </c>
      <c r="E1378" t="s">
        <v>24</v>
      </c>
      <c r="F1378" t="s">
        <v>41</v>
      </c>
      <c r="G1378" t="s">
        <v>26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31.2</v>
      </c>
    </row>
    <row r="1379" spans="1:16">
      <c r="A1379" t="s">
        <v>1407</v>
      </c>
      <c r="B1379" s="2">
        <v>45741</v>
      </c>
      <c r="C1379" t="s">
        <v>723</v>
      </c>
      <c r="D1379" t="s">
        <v>23</v>
      </c>
      <c r="E1379" t="s">
        <v>19</v>
      </c>
      <c r="F1379" t="s">
        <v>20</v>
      </c>
      <c r="G1379" t="s">
        <v>30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72.400000000000006</v>
      </c>
    </row>
    <row r="1380" spans="1:16">
      <c r="A1380" t="s">
        <v>1408</v>
      </c>
      <c r="B1380" s="2">
        <v>45740</v>
      </c>
      <c r="C1380" t="s">
        <v>723</v>
      </c>
      <c r="D1380" t="s">
        <v>18</v>
      </c>
      <c r="E1380" t="s">
        <v>24</v>
      </c>
      <c r="F1380" t="s">
        <v>25</v>
      </c>
      <c r="G1380" t="s">
        <v>30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P1380">
        <v>74.5</v>
      </c>
    </row>
    <row r="1381" spans="1:16">
      <c r="A1381" t="s">
        <v>1409</v>
      </c>
      <c r="B1381" s="2">
        <v>45774</v>
      </c>
      <c r="C1381" t="s">
        <v>723</v>
      </c>
      <c r="D1381" t="s">
        <v>28</v>
      </c>
      <c r="E1381" t="s">
        <v>24</v>
      </c>
      <c r="F1381" t="s">
        <v>25</v>
      </c>
      <c r="G1381" t="s">
        <v>21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52.6</v>
      </c>
    </row>
    <row r="1382" spans="1:16">
      <c r="A1382" t="s">
        <v>1410</v>
      </c>
      <c r="B1382" s="2">
        <v>45682</v>
      </c>
      <c r="C1382" t="s">
        <v>723</v>
      </c>
      <c r="D1382" t="s">
        <v>18</v>
      </c>
      <c r="E1382" t="s">
        <v>19</v>
      </c>
      <c r="F1382" t="s">
        <v>29</v>
      </c>
      <c r="G1382" t="s">
        <v>26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75.400000000000006</v>
      </c>
    </row>
    <row r="1383" spans="1:16">
      <c r="A1383" t="s">
        <v>1411</v>
      </c>
      <c r="B1383" s="2">
        <v>45705</v>
      </c>
      <c r="C1383" t="s">
        <v>723</v>
      </c>
      <c r="D1383" t="s">
        <v>18</v>
      </c>
      <c r="E1383" t="s">
        <v>34</v>
      </c>
      <c r="F1383" t="s">
        <v>41</v>
      </c>
      <c r="G1383" t="s">
        <v>21</v>
      </c>
      <c r="H1383">
        <v>1</v>
      </c>
      <c r="I1383">
        <v>1</v>
      </c>
      <c r="J1383">
        <v>1</v>
      </c>
      <c r="K1383">
        <v>1</v>
      </c>
      <c r="L1383">
        <v>751.33</v>
      </c>
      <c r="M1383">
        <v>0</v>
      </c>
      <c r="N1383">
        <v>0</v>
      </c>
      <c r="O1383">
        <v>9</v>
      </c>
      <c r="P1383">
        <v>34</v>
      </c>
    </row>
    <row r="1384" spans="1:16">
      <c r="A1384" t="s">
        <v>1412</v>
      </c>
      <c r="B1384" s="2">
        <v>45760</v>
      </c>
      <c r="C1384" t="s">
        <v>723</v>
      </c>
      <c r="D1384" t="s">
        <v>32</v>
      </c>
      <c r="E1384" t="s">
        <v>19</v>
      </c>
      <c r="F1384" t="s">
        <v>25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67.099999999999994</v>
      </c>
    </row>
    <row r="1385" spans="1:16">
      <c r="A1385" t="s">
        <v>1413</v>
      </c>
      <c r="B1385" s="2">
        <v>45780</v>
      </c>
      <c r="C1385" t="s">
        <v>723</v>
      </c>
      <c r="D1385" t="s">
        <v>23</v>
      </c>
      <c r="E1385" t="s">
        <v>19</v>
      </c>
      <c r="F1385" t="s">
        <v>29</v>
      </c>
      <c r="G1385" t="s">
        <v>30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37.299999999999997</v>
      </c>
    </row>
    <row r="1386" spans="1:16">
      <c r="A1386" t="s">
        <v>1414</v>
      </c>
      <c r="B1386" s="2">
        <v>45776</v>
      </c>
      <c r="C1386" t="s">
        <v>723</v>
      </c>
      <c r="D1386" t="s">
        <v>23</v>
      </c>
      <c r="E1386" t="s">
        <v>24</v>
      </c>
      <c r="F1386" t="s">
        <v>20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P1386">
        <v>54.7</v>
      </c>
    </row>
    <row r="1387" spans="1:16">
      <c r="A1387" t="s">
        <v>1415</v>
      </c>
      <c r="B1387" s="2">
        <v>45780</v>
      </c>
      <c r="C1387" t="s">
        <v>723</v>
      </c>
      <c r="D1387" t="s">
        <v>28</v>
      </c>
      <c r="E1387" t="s">
        <v>19</v>
      </c>
      <c r="F1387" t="s">
        <v>29</v>
      </c>
      <c r="G1387" t="s">
        <v>26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P1387">
        <v>51.8</v>
      </c>
    </row>
    <row r="1388" spans="1:16">
      <c r="A1388" t="s">
        <v>1416</v>
      </c>
      <c r="B1388" s="2">
        <v>45775</v>
      </c>
      <c r="C1388" t="s">
        <v>723</v>
      </c>
      <c r="D1388" t="s">
        <v>23</v>
      </c>
      <c r="E1388" t="s">
        <v>24</v>
      </c>
      <c r="F1388" t="s">
        <v>29</v>
      </c>
      <c r="G1388" t="s">
        <v>26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P1388">
        <v>49.2</v>
      </c>
    </row>
    <row r="1389" spans="1:16">
      <c r="A1389" t="s">
        <v>1417</v>
      </c>
      <c r="B1389" s="2">
        <v>45678</v>
      </c>
      <c r="C1389" t="s">
        <v>723</v>
      </c>
      <c r="D1389" t="s">
        <v>23</v>
      </c>
      <c r="E1389" t="s">
        <v>24</v>
      </c>
      <c r="F1389" t="s">
        <v>25</v>
      </c>
      <c r="G1389" t="s">
        <v>26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2</v>
      </c>
      <c r="N1389">
        <v>0</v>
      </c>
      <c r="P1389">
        <v>58.8</v>
      </c>
    </row>
    <row r="1390" spans="1:16">
      <c r="A1390" t="s">
        <v>1418</v>
      </c>
      <c r="B1390" s="2">
        <v>45678</v>
      </c>
      <c r="C1390" t="s">
        <v>723</v>
      </c>
      <c r="D1390" t="s">
        <v>18</v>
      </c>
      <c r="E1390" t="s">
        <v>34</v>
      </c>
      <c r="F1390" t="s">
        <v>29</v>
      </c>
      <c r="G1390" t="s">
        <v>21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P1390">
        <v>59.1</v>
      </c>
    </row>
    <row r="1391" spans="1:16">
      <c r="A1391" t="s">
        <v>1419</v>
      </c>
      <c r="B1391" s="2">
        <v>45798</v>
      </c>
      <c r="C1391" t="s">
        <v>723</v>
      </c>
      <c r="D1391" t="s">
        <v>23</v>
      </c>
      <c r="E1391" t="s">
        <v>19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P1391">
        <v>49.6</v>
      </c>
    </row>
    <row r="1392" spans="1:16">
      <c r="A1392" t="s">
        <v>1420</v>
      </c>
      <c r="B1392" s="2">
        <v>45662</v>
      </c>
      <c r="C1392" t="s">
        <v>723</v>
      </c>
      <c r="D1392" t="s">
        <v>18</v>
      </c>
      <c r="E1392" t="s">
        <v>24</v>
      </c>
      <c r="F1392" t="s">
        <v>39</v>
      </c>
      <c r="G1392" t="s">
        <v>26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P1392">
        <v>58.2</v>
      </c>
    </row>
    <row r="1393" spans="1:17">
      <c r="A1393" t="s">
        <v>1421</v>
      </c>
      <c r="B1393" s="2">
        <v>45722</v>
      </c>
      <c r="C1393" t="s">
        <v>723</v>
      </c>
      <c r="D1393" t="s">
        <v>32</v>
      </c>
      <c r="E1393" t="s">
        <v>19</v>
      </c>
      <c r="F1393" t="s">
        <v>25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66.8</v>
      </c>
    </row>
    <row r="1394" spans="1:17">
      <c r="A1394" t="s">
        <v>1422</v>
      </c>
      <c r="B1394" s="2">
        <v>45765</v>
      </c>
      <c r="C1394" t="s">
        <v>723</v>
      </c>
      <c r="D1394" t="s">
        <v>18</v>
      </c>
      <c r="E1394" t="s">
        <v>24</v>
      </c>
      <c r="F1394" t="s">
        <v>29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3</v>
      </c>
      <c r="N1394">
        <v>0</v>
      </c>
      <c r="P1394">
        <v>58.3</v>
      </c>
    </row>
    <row r="1395" spans="1:17">
      <c r="A1395" t="s">
        <v>1423</v>
      </c>
      <c r="B1395" s="2">
        <v>45762</v>
      </c>
      <c r="C1395" t="s">
        <v>723</v>
      </c>
      <c r="D1395" t="s">
        <v>23</v>
      </c>
      <c r="E1395" t="s">
        <v>24</v>
      </c>
      <c r="F1395" t="s">
        <v>25</v>
      </c>
      <c r="G1395" t="s">
        <v>21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P1395">
        <v>38.5</v>
      </c>
    </row>
    <row r="1396" spans="1:17">
      <c r="A1396" t="s">
        <v>1424</v>
      </c>
      <c r="B1396" s="2">
        <v>45698</v>
      </c>
      <c r="C1396" t="s">
        <v>723</v>
      </c>
      <c r="D1396" t="s">
        <v>28</v>
      </c>
      <c r="E1396" t="s">
        <v>24</v>
      </c>
      <c r="F1396" t="s">
        <v>29</v>
      </c>
      <c r="G1396" t="s">
        <v>26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P1396">
        <v>76.900000000000006</v>
      </c>
    </row>
    <row r="1397" spans="1:17">
      <c r="A1397" t="s">
        <v>1425</v>
      </c>
      <c r="B1397" s="2">
        <v>45785</v>
      </c>
      <c r="C1397" t="s">
        <v>723</v>
      </c>
      <c r="D1397" t="s">
        <v>28</v>
      </c>
      <c r="E1397" t="s">
        <v>24</v>
      </c>
      <c r="F1397" t="s">
        <v>25</v>
      </c>
      <c r="G1397" t="s">
        <v>26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P1397">
        <v>54</v>
      </c>
    </row>
    <row r="1398" spans="1:17">
      <c r="A1398" t="s">
        <v>1426</v>
      </c>
      <c r="B1398" s="2">
        <v>45805</v>
      </c>
      <c r="C1398" t="s">
        <v>723</v>
      </c>
      <c r="D1398" t="s">
        <v>28</v>
      </c>
      <c r="E1398" t="s">
        <v>34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70.599999999999994</v>
      </c>
    </row>
    <row r="1399" spans="1:17">
      <c r="A1399" t="s">
        <v>1427</v>
      </c>
      <c r="B1399" s="2">
        <v>45772</v>
      </c>
      <c r="C1399" t="s">
        <v>723</v>
      </c>
      <c r="D1399" t="s">
        <v>18</v>
      </c>
      <c r="E1399" t="s">
        <v>34</v>
      </c>
      <c r="F1399" t="s">
        <v>39</v>
      </c>
      <c r="G1399" t="s">
        <v>30</v>
      </c>
      <c r="H1399">
        <v>1</v>
      </c>
      <c r="I1399">
        <v>1</v>
      </c>
      <c r="J1399">
        <v>1</v>
      </c>
      <c r="K1399">
        <v>0</v>
      </c>
      <c r="L1399">
        <v>0</v>
      </c>
      <c r="M1399">
        <v>1</v>
      </c>
      <c r="N1399">
        <v>0</v>
      </c>
      <c r="P1399">
        <v>69.400000000000006</v>
      </c>
    </row>
    <row r="1400" spans="1:17">
      <c r="A1400" t="s">
        <v>1428</v>
      </c>
      <c r="B1400" s="2">
        <v>45699</v>
      </c>
      <c r="C1400" t="s">
        <v>723</v>
      </c>
      <c r="D1400" t="s">
        <v>32</v>
      </c>
      <c r="E1400" t="s">
        <v>24</v>
      </c>
      <c r="G1400" t="s">
        <v>30</v>
      </c>
      <c r="H1400">
        <v>1</v>
      </c>
      <c r="I1400">
        <v>1</v>
      </c>
      <c r="J1400">
        <v>1</v>
      </c>
      <c r="K1400">
        <v>1</v>
      </c>
      <c r="L1400">
        <v>1009.9</v>
      </c>
      <c r="M1400">
        <v>0</v>
      </c>
      <c r="N1400">
        <v>0</v>
      </c>
      <c r="O1400">
        <v>6</v>
      </c>
      <c r="P1400">
        <v>89.7</v>
      </c>
    </row>
    <row r="1401" spans="1:17">
      <c r="A1401" t="s">
        <v>1429</v>
      </c>
      <c r="B1401" s="2">
        <v>45761</v>
      </c>
      <c r="C1401" t="s">
        <v>723</v>
      </c>
      <c r="D1401" t="s">
        <v>23</v>
      </c>
      <c r="E1401" t="s">
        <v>24</v>
      </c>
      <c r="F1401" t="s">
        <v>25</v>
      </c>
      <c r="G1401" t="s">
        <v>26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62.4</v>
      </c>
    </row>
    <row r="1402" spans="1:17">
      <c r="A1402" t="s">
        <v>1430</v>
      </c>
      <c r="B1402" s="2">
        <v>45692</v>
      </c>
      <c r="C1402" t="s">
        <v>723</v>
      </c>
      <c r="D1402" t="s">
        <v>23</v>
      </c>
      <c r="E1402" t="s">
        <v>34</v>
      </c>
      <c r="F1402" t="s">
        <v>25</v>
      </c>
      <c r="G1402" t="s">
        <v>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P1402">
        <v>67.3</v>
      </c>
    </row>
    <row r="1403" spans="1:17">
      <c r="A1403" t="s">
        <v>1431</v>
      </c>
      <c r="B1403" s="2">
        <v>45738</v>
      </c>
      <c r="C1403" t="s">
        <v>723</v>
      </c>
      <c r="D1403" t="s">
        <v>28</v>
      </c>
      <c r="E1403" t="s">
        <v>24</v>
      </c>
      <c r="F1403" t="s">
        <v>39</v>
      </c>
      <c r="G1403" t="s">
        <v>26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54.9</v>
      </c>
    </row>
    <row r="1404" spans="1:17">
      <c r="A1404" t="s">
        <v>1432</v>
      </c>
      <c r="B1404" s="2">
        <v>45765</v>
      </c>
      <c r="C1404" t="s">
        <v>723</v>
      </c>
      <c r="D1404" t="s">
        <v>28</v>
      </c>
      <c r="E1404" t="s">
        <v>19</v>
      </c>
      <c r="F1404" t="s">
        <v>41</v>
      </c>
      <c r="G1404" t="s">
        <v>26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55.7</v>
      </c>
    </row>
    <row r="1405" spans="1:17" s="23" customFormat="1">
      <c r="A1405" s="23" t="s">
        <v>1242</v>
      </c>
      <c r="B1405" s="24">
        <v>45712</v>
      </c>
      <c r="C1405" s="23" t="s">
        <v>723</v>
      </c>
      <c r="D1405" s="23" t="s">
        <v>23</v>
      </c>
      <c r="E1405" s="23" t="s">
        <v>24</v>
      </c>
      <c r="F1405" s="23" t="s">
        <v>25</v>
      </c>
      <c r="G1405" s="23" t="s">
        <v>21</v>
      </c>
      <c r="H1405" s="23">
        <v>1</v>
      </c>
      <c r="I1405" s="23">
        <v>0</v>
      </c>
      <c r="J1405" s="23">
        <v>0</v>
      </c>
      <c r="K1405" s="23">
        <v>0</v>
      </c>
      <c r="L1405" s="23">
        <v>0</v>
      </c>
      <c r="M1405" s="23">
        <v>0</v>
      </c>
      <c r="N1405" s="23">
        <v>0</v>
      </c>
      <c r="P1405" s="23">
        <v>62</v>
      </c>
      <c r="Q1405" s="23" t="s">
        <v>1470</v>
      </c>
    </row>
    <row r="1406" spans="1:17">
      <c r="A1406" t="s">
        <v>1264</v>
      </c>
      <c r="B1406" s="2">
        <v>45746</v>
      </c>
      <c r="C1406" t="s">
        <v>723</v>
      </c>
      <c r="D1406" t="s">
        <v>28</v>
      </c>
      <c r="E1406" t="s">
        <v>24</v>
      </c>
      <c r="F1406" t="s">
        <v>25</v>
      </c>
      <c r="G1406" t="s">
        <v>26</v>
      </c>
      <c r="H1406">
        <v>1</v>
      </c>
      <c r="I1406">
        <v>1</v>
      </c>
      <c r="J1406">
        <v>1</v>
      </c>
      <c r="K1406">
        <v>0</v>
      </c>
      <c r="L1406">
        <v>0</v>
      </c>
      <c r="M1406">
        <v>1</v>
      </c>
      <c r="N1406">
        <v>0</v>
      </c>
      <c r="P1406">
        <v>72.5</v>
      </c>
    </row>
    <row r="1407" spans="1:17" s="23" customFormat="1">
      <c r="A1407" s="23" t="s">
        <v>1264</v>
      </c>
      <c r="B1407" s="24">
        <v>45746</v>
      </c>
      <c r="C1407" s="23" t="s">
        <v>723</v>
      </c>
      <c r="D1407" s="23" t="s">
        <v>28</v>
      </c>
      <c r="E1407" s="23" t="s">
        <v>24</v>
      </c>
      <c r="F1407" s="23" t="s">
        <v>25</v>
      </c>
      <c r="G1407" s="23" t="s">
        <v>26</v>
      </c>
      <c r="H1407" s="23">
        <v>1</v>
      </c>
      <c r="I1407" s="23">
        <v>1</v>
      </c>
      <c r="J1407" s="23">
        <v>1</v>
      </c>
      <c r="K1407" s="23">
        <v>0</v>
      </c>
      <c r="L1407" s="23">
        <v>0</v>
      </c>
      <c r="M1407" s="23">
        <v>1</v>
      </c>
      <c r="N1407" s="23">
        <v>0</v>
      </c>
      <c r="P1407" s="23">
        <v>72.5</v>
      </c>
      <c r="Q1407" s="23" t="s">
        <v>1470</v>
      </c>
    </row>
    <row r="1408" spans="1:17">
      <c r="A1408" t="s">
        <v>1394</v>
      </c>
      <c r="B1408" s="2">
        <v>45800</v>
      </c>
      <c r="C1408" t="s">
        <v>723</v>
      </c>
      <c r="D1408" t="s">
        <v>28</v>
      </c>
      <c r="E1408" t="s">
        <v>24</v>
      </c>
      <c r="F1408" t="s">
        <v>25</v>
      </c>
      <c r="G1408" t="s">
        <v>21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33.6</v>
      </c>
    </row>
    <row r="1409" spans="1:17" s="23" customFormat="1">
      <c r="A1409" s="23" t="s">
        <v>1394</v>
      </c>
      <c r="B1409" s="24">
        <v>45800</v>
      </c>
      <c r="C1409" s="23" t="s">
        <v>723</v>
      </c>
      <c r="D1409" s="23" t="s">
        <v>28</v>
      </c>
      <c r="E1409" s="23" t="s">
        <v>24</v>
      </c>
      <c r="F1409" s="23" t="s">
        <v>25</v>
      </c>
      <c r="G1409" s="23" t="s">
        <v>21</v>
      </c>
      <c r="H1409" s="23">
        <v>1</v>
      </c>
      <c r="I1409" s="23">
        <v>0</v>
      </c>
      <c r="J1409" s="23">
        <v>0</v>
      </c>
      <c r="K1409" s="23">
        <v>0</v>
      </c>
      <c r="L1409" s="23">
        <v>0</v>
      </c>
      <c r="M1409" s="23">
        <v>0</v>
      </c>
      <c r="N1409" s="23">
        <v>0</v>
      </c>
      <c r="P1409" s="23">
        <v>33.6</v>
      </c>
      <c r="Q1409" s="23" t="s">
        <v>1470</v>
      </c>
    </row>
  </sheetData>
  <autoFilter ref="A1:Q1409" xr:uid="{00000000-0001-0000-0000-000000000000}"/>
  <conditionalFormatting sqref="A1:A1048576">
    <cfRule type="duplicateValues" dxfId="6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L17" sqref="L17"/>
    </sheetView>
  </sheetViews>
  <sheetFormatPr defaultRowHeight="13.8"/>
  <cols>
    <col min="1" max="1" width="28" customWidth="1"/>
    <col min="2" max="2" width="43.09765625" customWidth="1"/>
  </cols>
  <sheetData>
    <row r="1" spans="1:2" ht="22.35" customHeight="1">
      <c r="A1" s="1" t="s">
        <v>1433</v>
      </c>
      <c r="B1" s="1" t="s">
        <v>1434</v>
      </c>
    </row>
    <row r="2" spans="1:2" ht="27.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27.6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>
      <c r="A7" s="3" t="s">
        <v>8</v>
      </c>
      <c r="B7" s="3" t="s">
        <v>1442</v>
      </c>
    </row>
    <row r="8" spans="1:2">
      <c r="A8" s="3" t="s">
        <v>9</v>
      </c>
      <c r="B8" s="3" t="s">
        <v>1443</v>
      </c>
    </row>
    <row r="9" spans="1:2">
      <c r="A9" s="3" t="s">
        <v>10</v>
      </c>
      <c r="B9" s="3" t="s">
        <v>1444</v>
      </c>
    </row>
    <row r="10" spans="1:2">
      <c r="A10" s="3" t="s">
        <v>11</v>
      </c>
      <c r="B10" s="3" t="s">
        <v>1445</v>
      </c>
    </row>
    <row r="11" spans="1:2">
      <c r="A11" s="3" t="s">
        <v>12</v>
      </c>
      <c r="B11" s="3" t="s">
        <v>1446</v>
      </c>
    </row>
    <row r="12" spans="1:2">
      <c r="A12" s="3" t="s">
        <v>13</v>
      </c>
      <c r="B12" s="3" t="s">
        <v>1447</v>
      </c>
    </row>
    <row r="13" spans="1:2">
      <c r="A13" s="3" t="s">
        <v>15</v>
      </c>
      <c r="B13" s="3" t="s">
        <v>1448</v>
      </c>
    </row>
    <row r="14" spans="1:2" ht="27.6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 Summary</vt:lpstr>
      <vt:lpstr>Sheet3</vt:lpstr>
      <vt:lpstr>Hypothesis Test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Singh</cp:lastModifiedBy>
  <dcterms:created xsi:type="dcterms:W3CDTF">2026-06-24T20:35:57Z</dcterms:created>
  <dcterms:modified xsi:type="dcterms:W3CDTF">2026-06-26T08:45:46Z</dcterms:modified>
</cp:coreProperties>
</file>